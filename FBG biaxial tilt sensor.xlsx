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atical calculations" sheetId="1" r:id="rId4"/>
    <sheet state="visible" name="Experiment axial " sheetId="2" r:id="rId5"/>
    <sheet state="visible" name="Experiment transverse " sheetId="3" r:id="rId6"/>
  </sheets>
  <definedNames/>
  <calcPr/>
  <extLst>
    <ext uri="GoogleSheetsCustomDataVersion2">
      <go:sheetsCustomData xmlns:go="http://customooxmlschemas.google.com/" r:id="rId7" roundtripDataChecksum="v8rYi45Vb6f8EbCGkpsO8i0sTjRh45lk4FFOgQJV6nE="/>
    </ext>
  </extLst>
</workbook>
</file>

<file path=xl/sharedStrings.xml><?xml version="1.0" encoding="utf-8"?>
<sst xmlns="http://schemas.openxmlformats.org/spreadsheetml/2006/main" count="36" uniqueCount="36">
  <si>
    <t>angle</t>
  </si>
  <si>
    <t>radius</t>
  </si>
  <si>
    <t>total force</t>
  </si>
  <si>
    <t>FBG1 wavelength change (axial)</t>
  </si>
  <si>
    <t>FBG2 wavelength change (axial)</t>
  </si>
  <si>
    <t>difference (axial)</t>
  </si>
  <si>
    <t>average wavelength change (transverse)</t>
  </si>
  <si>
    <r>
      <rPr>
        <rFont val="SimSun"/>
        <color theme="1"/>
        <sz val="11.0"/>
      </rPr>
      <t>y</t>
    </r>
    <r>
      <rPr>
        <rFont val="宋体"/>
        <color theme="1"/>
        <sz val="11.0"/>
      </rPr>
      <t xml:space="preserve"> （transverse displacement, Ref[11])</t>
    </r>
  </si>
  <si>
    <t xml:space="preserve"> strain change Δε </t>
  </si>
  <si>
    <t>wavelength change Δλ</t>
  </si>
  <si>
    <t>Ft            (prestrech ε=1nm)</t>
  </si>
  <si>
    <t>FBG1</t>
  </si>
  <si>
    <t>FBG2</t>
  </si>
  <si>
    <t>wavelength at room temperature</t>
  </si>
  <si>
    <t>wavelength after FBG being fixed (tilted 0 degree in both axial and transverse directions)</t>
  </si>
  <si>
    <t>pre-stretch in terms of resonant wavelength shift</t>
  </si>
  <si>
    <t xml:space="preserve">Relationship between the wavelength and strain </t>
  </si>
  <si>
    <t xml:space="preserve">Δλ /Δε = </t>
  </si>
  <si>
    <t>pre-stretch</t>
  </si>
  <si>
    <t>Corresponding pre-strain ε</t>
  </si>
  <si>
    <t xml:space="preserve">1nm </t>
  </si>
  <si>
    <t>Fomular used to find Ft</t>
  </si>
  <si>
    <r>
      <rPr>
        <rFont val="SimSun"/>
        <color theme="1"/>
        <sz val="11.0"/>
      </rPr>
      <t>Ref.[1</t>
    </r>
    <r>
      <rPr>
        <rFont val="宋体"/>
        <color theme="1"/>
        <sz val="11.0"/>
      </rPr>
      <t>5]</t>
    </r>
  </si>
  <si>
    <t xml:space="preserve">Ft is the vertical componants of the two axial forces </t>
  </si>
  <si>
    <r>
      <rPr>
        <rFont val="SimSun"/>
        <color theme="1"/>
        <sz val="11.0"/>
      </rPr>
      <t>Both</t>
    </r>
    <r>
      <rPr>
        <rFont val="宋体"/>
        <color theme="1"/>
        <sz val="11.0"/>
      </rPr>
      <t xml:space="preserve"> axial force are </t>
    </r>
    <r>
      <rPr>
        <rFont val="宋体"/>
        <i/>
        <color theme="1"/>
        <sz val="11.0"/>
      </rPr>
      <t>AE(ε+∆ε)</t>
    </r>
  </si>
  <si>
    <t>The distance between the two ends is assumed to be 1</t>
  </si>
  <si>
    <t>0.5 is the half of the distance</t>
  </si>
  <si>
    <t>0.25 is the square of 0.5</t>
  </si>
  <si>
    <t xml:space="preserve">                       is the geometrical vertical componant</t>
  </si>
  <si>
    <t>AE=</t>
  </si>
  <si>
    <t>5.3 gram corresponds =5.3/1000*9.8=0.05194N</t>
  </si>
  <si>
    <r>
      <rPr>
        <rFont val="SimSun"/>
        <color theme="1"/>
        <sz val="11.0"/>
      </rPr>
      <t>at the C</t>
    </r>
    <r>
      <rPr>
        <rFont val="宋体"/>
        <color theme="1"/>
        <sz val="11.0"/>
      </rPr>
      <t xml:space="preserve">olumn &amp; </t>
    </r>
    <r>
      <rPr>
        <rFont val="宋体"/>
        <color theme="1"/>
        <sz val="11.0"/>
      </rPr>
      <t xml:space="preserve">Row </t>
    </r>
  </si>
  <si>
    <r>
      <rPr>
        <rFont val="SimSun"/>
        <color theme="1"/>
        <sz val="11.0"/>
      </rPr>
      <t>t</t>
    </r>
    <r>
      <rPr>
        <rFont val="宋体"/>
        <color theme="1"/>
        <sz val="11.0"/>
      </rPr>
      <t xml:space="preserve">ransverse </t>
    </r>
    <r>
      <rPr>
        <rFont val="宋体"/>
        <color theme="1"/>
        <sz val="11.0"/>
      </rPr>
      <t>force at 20 degree=0.05194*sin20=0.0178</t>
    </r>
  </si>
  <si>
    <t>N555</t>
  </si>
  <si>
    <t>transverse force at 70 degree=0.05194*sin70=0.0488</t>
  </si>
  <si>
    <t>N1214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</si>
</sst>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SimSun"/>
    </font>
    <font>
      <sz val="11.0"/>
      <color rgb="FFFF0000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27783640447006"/>
          <c:y val="0.052833813640730067"/>
          <c:w val="0.9030927835051547"/>
          <c:h val="0.8799231508165226"/>
        </c:manualLayout>
      </c:layout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'Theoratical calculations'!$A$2:$A$182</c:f>
            </c:numRef>
          </c:xVal>
          <c:yVal>
            <c:numRef>
              <c:f>'Theoratical calculations'!$F$2:$F$182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'Theoratical calculations'!$A$42:$A$142</c:f>
            </c:numRef>
          </c:xVal>
          <c:yVal>
            <c:numRef>
              <c:f>'Theoratical calculations'!$F$42:$F$142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657974"/>
        <c:axId val="636464319"/>
      </c:scatterChart>
      <c:valAx>
        <c:axId val="2087657974"/>
        <c:scaling>
          <c:orientation val="minMax"/>
          <c:max val="90.0"/>
          <c:min val="-9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Axial inclination [°]</a:t>
                </a:r>
              </a:p>
            </c:rich>
          </c:tx>
          <c:layout>
            <c:manualLayout>
              <c:xMode val="edge"/>
              <c:yMode val="edge"/>
              <c:x val="0.596251259731774"/>
              <c:y val="0.581345539638870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36464319"/>
        <c:majorUnit val="30.0"/>
      </c:valAx>
      <c:valAx>
        <c:axId val="636464319"/>
        <c:scaling>
          <c:orientation val="minMax"/>
          <c:max val="0.07"/>
          <c:min val="-0.07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Wavelength change of the difference [nm]</a:t>
                </a:r>
              </a:p>
            </c:rich>
          </c:tx>
          <c:layout>
            <c:manualLayout>
              <c:xMode val="edge"/>
              <c:yMode val="edge"/>
              <c:x val="0.272839766980347"/>
              <c:y val="0.0141832207522283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08765797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72646207685578"/>
          <c:y val="0.04362195766484821"/>
          <c:w val="0.7806662628709873"/>
          <c:h val="0.793295850861108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'Theoratical calculations'!$N$555:$N$1214</c:f>
            </c:numRef>
          </c:xVal>
          <c:yVal>
            <c:numRef>
              <c:f>'Theoratical calculations'!$M$555:$M$1214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674942"/>
        <c:axId val="477461322"/>
      </c:scatterChart>
      <c:valAx>
        <c:axId val="752674942"/>
        <c:scaling>
          <c:orientation val="minMax"/>
          <c:max val="0.05000000000000001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Transverse force applied at the middle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461322"/>
      </c:valAx>
      <c:valAx>
        <c:axId val="477461322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Wavelength shift of the average [nm]</a:t>
                </a:r>
              </a:p>
            </c:rich>
          </c:tx>
          <c:layout>
            <c:manualLayout>
              <c:xMode val="edge"/>
              <c:yMode val="edge"/>
              <c:x val="0.00854311450062453"/>
              <c:y val="0.071314643361887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67494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6998031496063"/>
          <c:y val="0.04875886524822695"/>
          <c:w val="0.7423959078978764"/>
          <c:h val="0.796032626905679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'Theoratical calculations'!$A$22:$A$72</c:f>
            </c:numRef>
          </c:xVal>
          <c:yVal>
            <c:numRef>
              <c:f>'Theoratical calculations'!$G$22:$G$72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153821"/>
        <c:axId val="192708607"/>
      </c:scatterChart>
      <c:valAx>
        <c:axId val="1951153821"/>
        <c:scaling>
          <c:orientation val="minMax"/>
          <c:max val="70.0"/>
          <c:min val="2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Times New Roman"/>
                  </a:rPr>
                  <a:t>Transverse inclination [°]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92708607"/>
        <c:majorUnit val="10.0"/>
      </c:valAx>
      <c:valAx>
        <c:axId val="192708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Times New Roman"/>
                  </a:rPr>
                  <a:t>Wavelength change of the average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95115382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150487718885885"/>
          <c:y val="0.02141330361547034"/>
          <c:w val="0.9411319387315391"/>
          <c:h val="0.9571733927690593"/>
        </c:manualLayout>
      </c:layout>
      <c:scatterChart>
        <c:scatterStyle val="lineMarker"/>
        <c:ser>
          <c:idx val="0"/>
          <c:order val="0"/>
          <c:tx>
            <c:v>Difference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'Experiment axial '!$A$1:$A$37</c:f>
            </c:numRef>
          </c:xVal>
          <c:yVal>
            <c:numRef>
              <c:f>'Experiment axial '!$F$1:$F$37</c:f>
              <c:numCache/>
            </c:numRef>
          </c:yVal>
        </c:ser>
        <c:ser>
          <c:idx val="1"/>
          <c:order val="1"/>
          <c:tx>
            <c:v>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'Experiment axial '!$A$1:$A$37</c:f>
            </c:numRef>
          </c:xVal>
          <c:yVal>
            <c:numRef>
              <c:f>'Experiment axial '!$G$1:$G$37</c:f>
              <c:numCache/>
            </c:numRef>
          </c:yVal>
        </c:ser>
        <c:ser>
          <c:idx val="2"/>
          <c:order val="2"/>
          <c:tx>
            <c:v>FBG1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'Experiment axial '!$A$1:$A$37</c:f>
            </c:numRef>
          </c:xVal>
          <c:yVal>
            <c:numRef>
              <c:f>'Experiment axial '!$D$1:$D$37</c:f>
              <c:numCache/>
            </c:numRef>
          </c:yVal>
        </c:ser>
        <c:ser>
          <c:idx val="3"/>
          <c:order val="3"/>
          <c:tx>
            <c:v>FBG2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'Experiment axial '!$A$1:$A$37</c:f>
            </c:numRef>
          </c:xVal>
          <c:yVal>
            <c:numRef>
              <c:f>'Experiment axial '!$E$1:$E$37</c:f>
              <c:numCache/>
            </c:numRef>
          </c:yVal>
        </c:ser>
        <c:ser>
          <c:idx val="4"/>
          <c:order val="4"/>
          <c:tx>
            <c:v>linear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>Linear (linear)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'Experiment axial '!$A$32:$A$37</c:f>
            </c:numRef>
          </c:xVal>
          <c:yVal>
            <c:numRef>
              <c:f>'Experiment axial '!$F$1:$F$6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'Experiment axial '!$A$32:$A$37</c:f>
            </c:numRef>
          </c:xVal>
          <c:yVal>
            <c:numRef>
              <c:f>'Experiment axial '!$F$14:$F$24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'Experiment axial '!$A$32:$A$37</c:f>
            </c:numRef>
          </c:xVal>
          <c:yVal>
            <c:numRef>
              <c:f>'Experiment axial '!$F$32:$F$37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486623"/>
        <c:axId val="291989590"/>
      </c:scatterChart>
      <c:valAx>
        <c:axId val="1802486623"/>
        <c:scaling>
          <c:orientation val="minMax"/>
          <c:max val="90.0"/>
          <c:min val="-9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Axial inclination [°]</a:t>
                </a:r>
              </a:p>
            </c:rich>
          </c:tx>
          <c:layout>
            <c:manualLayout>
              <c:xMode val="edge"/>
              <c:yMode val="edge"/>
              <c:x val="0.7274129353233831"/>
              <c:y val="0.53402938901778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989590"/>
        <c:majorUnit val="30.0"/>
      </c:valAx>
      <c:valAx>
        <c:axId val="291989590"/>
        <c:scaling>
          <c:orientation val="minMax"/>
          <c:max val="70.0"/>
          <c:min val="-7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Wavelength change [pm]</a:t>
                </a:r>
              </a:p>
            </c:rich>
          </c:tx>
          <c:layout>
            <c:manualLayout>
              <c:xMode val="edge"/>
              <c:yMode val="edge"/>
              <c:x val="0.417910447761194"/>
              <c:y val="0.0058391337973704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486623"/>
      </c:valAx>
    </c:plotArea>
    <c:legend>
      <c:legendPos val="t"/>
      <c:layout>
        <c:manualLayout>
          <c:xMode val="edge"/>
          <c:yMode val="edge"/>
          <c:x val="0.7456867238610099"/>
          <c:y val="0.76179427687548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77356736657918"/>
          <c:y val="0.02869451101221043"/>
          <c:w val="0.865448654855643"/>
          <c:h val="0.9499204491330475"/>
        </c:manualLayout>
      </c:layout>
      <c:lineChart>
        <c:ser>
          <c:idx val="0"/>
          <c:order val="0"/>
          <c:tx>
            <c:v>Difference</c:v>
          </c:tx>
          <c:spPr>
            <a:ln cmpd="sng">
              <a:noFill/>
            </a:ln>
          </c:spPr>
          <c:marker>
            <c:symbol val="none"/>
          </c:marker>
          <c:cat>
            <c:strRef>
              <c:f>'Experiment axial '!$A$1:$A$37</c:f>
            </c:strRef>
          </c:cat>
          <c:val>
            <c:numRef>
              <c:f>'Experiment axial '!$F$1:$F$37</c:f>
              <c:numCache/>
            </c:numRef>
          </c:val>
          <c:smooth val="0"/>
        </c:ser>
        <c:ser>
          <c:idx val="1"/>
          <c:order val="1"/>
          <c:tx>
            <c:v>Average</c:v>
          </c:tx>
          <c:spPr>
            <a:ln cmpd="sng">
              <a:noFill/>
            </a:ln>
          </c:spPr>
          <c:marker>
            <c:symbol val="circle"/>
            <c:size val="3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cat>
            <c:strRef>
              <c:f>'Experiment axial '!$A$1:$A$37</c:f>
            </c:strRef>
          </c:cat>
          <c:val>
            <c:numRef>
              <c:f>'Experiment axial '!$G$1:$G$37</c:f>
              <c:numCache/>
            </c:numRef>
          </c:val>
          <c:smooth val="0"/>
        </c:ser>
        <c:ser>
          <c:idx val="2"/>
          <c:order val="2"/>
          <c:tx>
            <c:v>FBG1</c:v>
          </c:tx>
          <c:spPr>
            <a:ln cmpd="sng">
              <a:noFill/>
            </a:ln>
          </c:spPr>
          <c:marker>
            <c:symbol val="circle"/>
            <c:size val="3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'Experiment axial '!$A$1:$A$37</c:f>
            </c:strRef>
          </c:cat>
          <c:val>
            <c:numRef>
              <c:f>'Experiment axial '!$D$1:$D$37</c:f>
              <c:numCache/>
            </c:numRef>
          </c:val>
          <c:smooth val="0"/>
        </c:ser>
        <c:ser>
          <c:idx val="3"/>
          <c:order val="3"/>
          <c:tx>
            <c:v>FBG2</c:v>
          </c:tx>
          <c:spPr>
            <a:ln cmpd="sng">
              <a:noFill/>
            </a:ln>
          </c:spPr>
          <c:marker>
            <c:symbol val="circle"/>
            <c:size val="3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cat>
            <c:strRef>
              <c:f>'Experiment axial '!$A$1:$A$37</c:f>
            </c:strRef>
          </c:cat>
          <c:val>
            <c:numRef>
              <c:f>'Experiment axial '!$E$1:$E$37</c:f>
              <c:numCache/>
            </c:numRef>
          </c:val>
          <c:smooth val="0"/>
        </c:ser>
        <c:axId val="1610840648"/>
        <c:axId val="1644412784"/>
      </c:lineChart>
      <c:catAx>
        <c:axId val="1610840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Axial inclination [°]</a:t>
                </a:r>
              </a:p>
            </c:rich>
          </c:tx>
          <c:layout>
            <c:manualLayout>
              <c:xMode val="edge"/>
              <c:yMode val="edge"/>
              <c:x val="0.2385801384201975"/>
              <c:y val="0.5438076416337287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44412784"/>
      </c:catAx>
      <c:valAx>
        <c:axId val="1644412784"/>
        <c:scaling>
          <c:orientation val="minMax"/>
          <c:max val="70.0"/>
          <c:min val="-75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Wavelength change [pm]</a:t>
                </a:r>
              </a:p>
            </c:rich>
          </c:tx>
          <c:layout>
            <c:manualLayout>
              <c:xMode val="edge"/>
              <c:yMode val="edge"/>
              <c:x val="0.005490134045744282"/>
              <c:y val="0.330597916861182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10840648"/>
        <c:majorUnit val="10.0"/>
      </c:valAx>
    </c:plotArea>
    <c:legend>
      <c:legendPos val="b"/>
      <c:layout>
        <c:manualLayout>
          <c:xMode val="edge"/>
          <c:yMode val="edge"/>
          <c:x val="0.6519245641169854"/>
          <c:y val="0.0028230784393057586"/>
        </c:manualLayout>
      </c:layout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384951881014874"/>
          <c:y val="0.050666269966179844"/>
          <c:w val="0.8738164916885388"/>
          <c:h val="0.8575960237962801"/>
        </c:manualLayout>
      </c:layout>
      <c:lineChart>
        <c:ser>
          <c:idx val="0"/>
          <c:order val="0"/>
          <c:tx>
            <c:v>Average</c:v>
          </c:tx>
          <c:spPr>
            <a:ln cmpd="sng">
              <a:noFill/>
            </a:ln>
          </c:spPr>
          <c:marker>
            <c:symbol val="circle"/>
            <c:size val="3"/>
            <c:spPr>
              <a:solidFill>
                <a:srgbClr val="7030A0">
                  <a:alpha val="100000"/>
                </a:srgbClr>
              </a:solidFill>
              <a:ln cmpd="sng">
                <a:solidFill>
                  <a:srgbClr val="7030A0">
                    <a:alpha val="100000"/>
                  </a:srgbClr>
                </a:solidFill>
              </a:ln>
            </c:spPr>
          </c:marker>
          <c:cat>
            <c:strRef>
              <c:f>'Experiment transverse '!$A$1:$A$37</c:f>
            </c:strRef>
          </c:cat>
          <c:val>
            <c:numRef>
              <c:f>'Experiment transverse '!$G$1:$G$37</c:f>
              <c:numCache/>
            </c:numRef>
          </c:val>
          <c:smooth val="0"/>
        </c:ser>
        <c:ser>
          <c:idx val="1"/>
          <c:order val="1"/>
          <c:tx>
            <c:v>Difference</c:v>
          </c:tx>
          <c:spPr>
            <a:ln cmpd="sng">
              <a:noFill/>
            </a:ln>
          </c:spPr>
          <c:marker>
            <c:symbol val="circle"/>
            <c:size val="4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45"/>
            <c:marker>
              <c:symbol val="triangle"/>
              <c:size val="3"/>
            </c:marker>
          </c:dPt>
          <c:cat>
            <c:strRef>
              <c:f>'Experiment transverse '!$A$1:$A$37</c:f>
            </c:strRef>
          </c:cat>
          <c:val>
            <c:numRef>
              <c:f>'Experiment transverse '!$F$1:$F$37</c:f>
              <c:numCache/>
            </c:numRef>
          </c:val>
          <c:smooth val="0"/>
        </c:ser>
        <c:axId val="831106362"/>
        <c:axId val="1750856670"/>
      </c:lineChart>
      <c:catAx>
        <c:axId val="831106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Transverse inclination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856670"/>
      </c:catAx>
      <c:valAx>
        <c:axId val="17508566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Wavelength change [pm]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106362"/>
      </c:valAx>
    </c:plotArea>
    <c:legend>
      <c:legendPos val="r"/>
      <c:layout>
        <c:manualLayout>
          <c:xMode val="edge"/>
          <c:yMode val="edge"/>
          <c:x val="0.47202777777777777"/>
          <c:y val="0.0042458450654627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98031496062992"/>
          <c:y val="0.037037037037037035"/>
          <c:w val="0.8469746281714786"/>
          <c:h val="0.8231561679790026"/>
        </c:manualLayout>
      </c:layout>
      <c:scatterChart>
        <c:scatterStyle val="lineMarker"/>
        <c:ser>
          <c:idx val="0"/>
          <c:order val="0"/>
          <c:tx>
            <c:v>1st 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'Experiment transverse '!$Q$3:$Q$8</c:f>
            </c:numRef>
          </c:xVal>
          <c:yVal>
            <c:numRef>
              <c:f>'Experiment transverse '!$W$3:$W$8</c:f>
              <c:numCache/>
            </c:numRef>
          </c:yVal>
        </c:ser>
        <c:ser>
          <c:idx val="1"/>
          <c:order val="1"/>
          <c:tx>
            <c:v>1st down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'Experiment transverse '!$Q$12:$Q$17</c:f>
            </c:numRef>
          </c:xVal>
          <c:yVal>
            <c:numRef>
              <c:f>'Experiment transverse '!$W$12:$W$17</c:f>
              <c:numCache/>
            </c:numRef>
          </c:yVal>
        </c:ser>
        <c:ser>
          <c:idx val="2"/>
          <c:order val="2"/>
          <c:tx>
            <c:v>2nd 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'Experiment transverse '!$Q$21:$Q$26</c:f>
            </c:numRef>
          </c:xVal>
          <c:yVal>
            <c:numRef>
              <c:f>'Experiment transverse '!$W$21:$W$26</c:f>
              <c:numCache/>
            </c:numRef>
          </c:yVal>
        </c:ser>
        <c:ser>
          <c:idx val="3"/>
          <c:order val="3"/>
          <c:tx>
            <c:v>2nd down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'Experiment transverse '!$Q$30:$Q$35</c:f>
            </c:numRef>
          </c:xVal>
          <c:yVal>
            <c:numRef>
              <c:f>'Experiment transverse '!$W$30:$W$35</c:f>
              <c:numCache/>
            </c:numRef>
          </c:yVal>
        </c:ser>
        <c:ser>
          <c:idx val="4"/>
          <c:order val="4"/>
          <c:tx>
            <c:v>all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trendline>
            <c:name>Linear (all)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'Experiment transverse '!$Q$3:$Q$35</c:f>
            </c:numRef>
          </c:xVal>
          <c:yVal>
            <c:numRef>
              <c:f>'Experiment transverse '!$W$3:$W$35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757621"/>
        <c:axId val="932597511"/>
      </c:scatterChart>
      <c:valAx>
        <c:axId val="1821757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Transverse inclination [°]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32597511"/>
      </c:valAx>
      <c:valAx>
        <c:axId val="932597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Wavelength change of the average [pm]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821757621"/>
      </c:valAx>
    </c:plotArea>
    <c:legend>
      <c:legendPos val="t"/>
      <c:layout>
        <c:manualLayout>
          <c:xMode val="edge"/>
          <c:yMode val="edge"/>
          <c:x val="0.1638888888888889"/>
          <c:y val="0.0740740740740740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104775</xdr:rowOff>
    </xdr:from>
    <xdr:ext cx="3667125" cy="3124200"/>
    <xdr:graphicFrame>
      <xdr:nvGraphicFramePr>
        <xdr:cNvPr id="8833815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57150</xdr:colOff>
      <xdr:row>16</xdr:row>
      <xdr:rowOff>19050</xdr:rowOff>
    </xdr:from>
    <xdr:ext cx="2905125" cy="2200275"/>
    <xdr:graphicFrame>
      <xdr:nvGraphicFramePr>
        <xdr:cNvPr id="59985671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523875</xdr:colOff>
      <xdr:row>34</xdr:row>
      <xdr:rowOff>142875</xdr:rowOff>
    </xdr:from>
    <xdr:ext cx="3171825" cy="2419350"/>
    <xdr:graphicFrame>
      <xdr:nvGraphicFramePr>
        <xdr:cNvPr id="82488940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28575</xdr:colOff>
      <xdr:row>10</xdr:row>
      <xdr:rowOff>152400</xdr:rowOff>
    </xdr:from>
    <xdr:ext cx="1714500" cy="2095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16</xdr:row>
      <xdr:rowOff>161925</xdr:rowOff>
    </xdr:from>
    <xdr:ext cx="819150" cy="238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22</xdr:row>
      <xdr:rowOff>123825</xdr:rowOff>
    </xdr:from>
    <xdr:ext cx="4848225" cy="3257550"/>
    <xdr:graphicFrame>
      <xdr:nvGraphicFramePr>
        <xdr:cNvPr id="95736701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381000</xdr:colOff>
      <xdr:row>0</xdr:row>
      <xdr:rowOff>76200</xdr:rowOff>
    </xdr:from>
    <xdr:ext cx="4867275" cy="3810000"/>
    <xdr:graphicFrame>
      <xdr:nvGraphicFramePr>
        <xdr:cNvPr id="182742027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133350</xdr:rowOff>
    </xdr:from>
    <xdr:ext cx="4371975" cy="2714625"/>
    <xdr:graphicFrame>
      <xdr:nvGraphicFramePr>
        <xdr:cNvPr id="16484358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17</xdr:row>
      <xdr:rowOff>104775</xdr:rowOff>
    </xdr:from>
    <xdr:ext cx="4371975" cy="2676525"/>
    <xdr:graphicFrame>
      <xdr:nvGraphicFramePr>
        <xdr:cNvPr id="102249783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10" width="8.71"/>
    <col customWidth="1" min="11" max="11" width="10.0"/>
    <col customWidth="1" min="12" max="12" width="16.71"/>
    <col customWidth="1" min="13" max="13" width="12.0"/>
    <col customWidth="1" min="14" max="14" width="17.14"/>
    <col customWidth="1" min="15" max="15" width="9.86"/>
    <col customWidth="1" min="16" max="16" width="65.71"/>
    <col customWidth="1" min="17" max="17" width="28.29"/>
    <col customWidth="1" min="18" max="18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2" t="s">
        <v>7</v>
      </c>
      <c r="L1" s="3" t="s">
        <v>8</v>
      </c>
      <c r="M1" s="3" t="s">
        <v>9</v>
      </c>
      <c r="N1" s="3" t="s">
        <v>10</v>
      </c>
      <c r="O1" s="3"/>
      <c r="Q1" s="1" t="s">
        <v>11</v>
      </c>
      <c r="R1" s="1" t="s">
        <v>12</v>
      </c>
    </row>
    <row r="2" ht="14.25" customHeight="1">
      <c r="A2" s="1">
        <v>90.0</v>
      </c>
      <c r="B2" s="1">
        <f t="shared" ref="B2:B182" si="1">3.14*A2/180</f>
        <v>1.57</v>
      </c>
      <c r="C2" s="1">
        <f t="shared" ref="C2:C182" si="2">5.3*0.001*9.8*SIN(B2)</f>
        <v>0.05193998353</v>
      </c>
      <c r="D2" s="1">
        <f t="shared" ref="D2:D182" si="3">5.3*0.001*9.8*SIN(B2)/2*1.33</f>
        <v>0.03454008905</v>
      </c>
      <c r="E2" s="1">
        <f t="shared" ref="E2:E182" si="4">-D2</f>
        <v>-0.03454008905</v>
      </c>
      <c r="F2" s="1">
        <f t="shared" ref="F2:F182" si="5">(D2-E2)</f>
        <v>0.0690801781</v>
      </c>
      <c r="K2" s="2">
        <v>0.0</v>
      </c>
      <c r="L2" s="2">
        <f t="shared" ref="L2:L1602" si="6">(SQRT(0.25+K2*K2)+SQRT(0.25+K2*K2)-1)/1</f>
        <v>0</v>
      </c>
      <c r="M2" s="2">
        <f t="shared" ref="M2:M1602" si="7">L2*Q$7</f>
        <v>0</v>
      </c>
      <c r="N2" s="2">
        <f t="shared" ref="N2:N1602" si="8">2*Q$19*(L2+Q$9)*(K2/SQRT(0.25+K2*K2))</f>
        <v>0</v>
      </c>
      <c r="O2" s="2"/>
      <c r="P2" s="1" t="s">
        <v>13</v>
      </c>
      <c r="Q2" s="1">
        <v>1534.27</v>
      </c>
      <c r="R2" s="1">
        <v>1546.39</v>
      </c>
    </row>
    <row r="3" ht="14.25" customHeight="1">
      <c r="A3" s="1">
        <v>89.0</v>
      </c>
      <c r="B3" s="1">
        <f t="shared" si="1"/>
        <v>1.552555556</v>
      </c>
      <c r="C3" s="1">
        <f t="shared" si="2"/>
        <v>0.05193135935</v>
      </c>
      <c r="D3" s="1">
        <f t="shared" si="3"/>
        <v>0.03453435397</v>
      </c>
      <c r="E3" s="1">
        <f t="shared" si="4"/>
        <v>-0.03453435397</v>
      </c>
      <c r="F3" s="1">
        <f t="shared" si="5"/>
        <v>0.06906870794</v>
      </c>
      <c r="K3" s="2">
        <v>1.0E-5</v>
      </c>
      <c r="L3" s="2">
        <f t="shared" si="6"/>
        <v>0.0000000002000000165</v>
      </c>
      <c r="M3" s="2">
        <f t="shared" si="7"/>
        <v>0.0000002318000192</v>
      </c>
      <c r="N3" s="2">
        <f t="shared" si="8"/>
        <v>0.00003006040386</v>
      </c>
      <c r="O3" s="2"/>
      <c r="P3" s="1" t="s">
        <v>14</v>
      </c>
      <c r="Q3" s="1">
        <v>1535.261</v>
      </c>
      <c r="R3" s="1">
        <v>1547.404</v>
      </c>
    </row>
    <row r="4" ht="14.25" customHeight="1">
      <c r="A4" s="1">
        <v>88.0</v>
      </c>
      <c r="B4" s="1">
        <f t="shared" si="1"/>
        <v>1.535111111</v>
      </c>
      <c r="C4" s="1">
        <f t="shared" si="2"/>
        <v>0.05190693241</v>
      </c>
      <c r="D4" s="1">
        <f t="shared" si="3"/>
        <v>0.03451811005</v>
      </c>
      <c r="E4" s="1">
        <f t="shared" si="4"/>
        <v>-0.03451811005</v>
      </c>
      <c r="F4" s="1">
        <f t="shared" si="5"/>
        <v>0.06903622011</v>
      </c>
      <c r="K4" s="2">
        <v>2.0E-5</v>
      </c>
      <c r="L4" s="2">
        <f t="shared" si="6"/>
        <v>0.0000000007999998441</v>
      </c>
      <c r="M4" s="2">
        <f t="shared" si="7"/>
        <v>0.0000009271998194</v>
      </c>
      <c r="N4" s="2">
        <f t="shared" si="8"/>
        <v>0.00006012084948</v>
      </c>
      <c r="O4" s="2"/>
      <c r="P4" s="1" t="s">
        <v>15</v>
      </c>
      <c r="Q4" s="1">
        <f t="shared" ref="Q4:R4" si="9">Q3-Q2</f>
        <v>0.991</v>
      </c>
      <c r="R4" s="1">
        <f t="shared" si="9"/>
        <v>1.014</v>
      </c>
    </row>
    <row r="5" ht="14.25" customHeight="1">
      <c r="A5" s="1">
        <v>87.0</v>
      </c>
      <c r="B5" s="1">
        <f t="shared" si="1"/>
        <v>1.517666667</v>
      </c>
      <c r="C5" s="1">
        <f t="shared" si="2"/>
        <v>0.05186671014</v>
      </c>
      <c r="D5" s="1">
        <f t="shared" si="3"/>
        <v>0.03449136225</v>
      </c>
      <c r="E5" s="1">
        <f t="shared" si="4"/>
        <v>-0.03449136225</v>
      </c>
      <c r="F5" s="1">
        <f t="shared" si="5"/>
        <v>0.06898272449</v>
      </c>
      <c r="K5" s="2">
        <v>3.0E-5</v>
      </c>
      <c r="L5" s="2">
        <f t="shared" si="6"/>
        <v>0.000000001799999927</v>
      </c>
      <c r="M5" s="2">
        <f t="shared" si="7"/>
        <v>0.000002086199915</v>
      </c>
      <c r="N5" s="2">
        <f t="shared" si="8"/>
        <v>0.00009018137866</v>
      </c>
      <c r="O5" s="2"/>
      <c r="P5" s="4"/>
      <c r="Q5" s="4"/>
    </row>
    <row r="6" ht="14.25" customHeight="1">
      <c r="A6" s="1">
        <v>86.0</v>
      </c>
      <c r="B6" s="1">
        <f t="shared" si="1"/>
        <v>1.500222222</v>
      </c>
      <c r="C6" s="1">
        <f t="shared" si="2"/>
        <v>0.05181070479</v>
      </c>
      <c r="D6" s="1">
        <f t="shared" si="3"/>
        <v>0.03445411868</v>
      </c>
      <c r="E6" s="1">
        <f t="shared" si="4"/>
        <v>-0.03445411868</v>
      </c>
      <c r="F6" s="1">
        <f t="shared" si="5"/>
        <v>0.06890823737</v>
      </c>
      <c r="K6" s="2">
        <v>4.0E-5</v>
      </c>
      <c r="L6" s="2">
        <f t="shared" si="6"/>
        <v>0.000000003200000043</v>
      </c>
      <c r="M6" s="2">
        <f t="shared" si="7"/>
        <v>0.00000370880005</v>
      </c>
      <c r="N6" s="2">
        <f t="shared" si="8"/>
        <v>0.0001202420331</v>
      </c>
      <c r="O6" s="2"/>
      <c r="P6" s="4" t="s">
        <v>16</v>
      </c>
      <c r="Q6" s="4"/>
    </row>
    <row r="7" ht="14.25" customHeight="1">
      <c r="A7" s="1">
        <v>85.0</v>
      </c>
      <c r="B7" s="1">
        <f t="shared" si="1"/>
        <v>1.482777778</v>
      </c>
      <c r="C7" s="1">
        <f t="shared" si="2"/>
        <v>0.05173893339</v>
      </c>
      <c r="D7" s="1">
        <f t="shared" si="3"/>
        <v>0.0344063907</v>
      </c>
      <c r="E7" s="1">
        <f t="shared" si="4"/>
        <v>-0.0344063907</v>
      </c>
      <c r="F7" s="1">
        <f t="shared" si="5"/>
        <v>0.06881278141</v>
      </c>
      <c r="K7" s="2">
        <v>5.0E-5</v>
      </c>
      <c r="L7" s="2">
        <f t="shared" si="6"/>
        <v>0.00000000499999997</v>
      </c>
      <c r="M7" s="2">
        <f t="shared" si="7"/>
        <v>0.000005794999965</v>
      </c>
      <c r="N7" s="2">
        <f t="shared" si="8"/>
        <v>0.0001503028547</v>
      </c>
      <c r="O7" s="2"/>
      <c r="P7" s="4" t="s">
        <v>17</v>
      </c>
      <c r="Q7" s="2">
        <v>1159.0</v>
      </c>
      <c r="R7" s="2"/>
    </row>
    <row r="8" ht="14.25" customHeight="1">
      <c r="A8" s="1">
        <v>84.0</v>
      </c>
      <c r="B8" s="1">
        <f t="shared" si="1"/>
        <v>1.465333333</v>
      </c>
      <c r="C8" s="1">
        <f t="shared" si="2"/>
        <v>0.05165141778</v>
      </c>
      <c r="D8" s="1">
        <f t="shared" si="3"/>
        <v>0.03434819283</v>
      </c>
      <c r="E8" s="1">
        <f t="shared" si="4"/>
        <v>-0.03434819283</v>
      </c>
      <c r="F8" s="1">
        <f t="shared" si="5"/>
        <v>0.06869638565</v>
      </c>
      <c r="K8" s="2">
        <v>6.0E-5</v>
      </c>
      <c r="L8" s="2">
        <f t="shared" si="6"/>
        <v>0.00000000719999993</v>
      </c>
      <c r="M8" s="2">
        <f t="shared" si="7"/>
        <v>0.000008344799918</v>
      </c>
      <c r="N8" s="2">
        <f t="shared" si="8"/>
        <v>0.0001803638852</v>
      </c>
      <c r="O8" s="2"/>
      <c r="P8" s="4" t="s">
        <v>18</v>
      </c>
      <c r="Q8" s="4" t="s">
        <v>19</v>
      </c>
      <c r="R8" s="4"/>
    </row>
    <row r="9" ht="14.25" customHeight="1">
      <c r="A9" s="1">
        <v>83.0</v>
      </c>
      <c r="B9" s="1">
        <f t="shared" si="1"/>
        <v>1.447888889</v>
      </c>
      <c r="C9" s="1">
        <f t="shared" si="2"/>
        <v>0.0515481846</v>
      </c>
      <c r="D9" s="1">
        <f t="shared" si="3"/>
        <v>0.03427954276</v>
      </c>
      <c r="E9" s="1">
        <f t="shared" si="4"/>
        <v>-0.03427954276</v>
      </c>
      <c r="F9" s="1">
        <f t="shared" si="5"/>
        <v>0.06855908552</v>
      </c>
      <c r="K9" s="2">
        <v>7.0E-5</v>
      </c>
      <c r="L9" s="2">
        <f t="shared" si="6"/>
        <v>0.000000009799999923</v>
      </c>
      <c r="M9" s="2">
        <f t="shared" si="7"/>
        <v>0.00001135819991</v>
      </c>
      <c r="N9" s="2">
        <f t="shared" si="8"/>
        <v>0.0002104251662</v>
      </c>
      <c r="O9" s="2"/>
      <c r="P9" s="2" t="s">
        <v>20</v>
      </c>
      <c r="Q9" s="2">
        <f>1/Q7</f>
        <v>0.0008628127696</v>
      </c>
      <c r="R9" s="4"/>
    </row>
    <row r="10" ht="14.25" customHeight="1">
      <c r="A10" s="1">
        <v>82.0</v>
      </c>
      <c r="B10" s="1">
        <f t="shared" si="1"/>
        <v>1.430444444</v>
      </c>
      <c r="C10" s="1">
        <f t="shared" si="2"/>
        <v>0.05142926526</v>
      </c>
      <c r="D10" s="1">
        <f t="shared" si="3"/>
        <v>0.0342004614</v>
      </c>
      <c r="E10" s="1">
        <f t="shared" si="4"/>
        <v>-0.0342004614</v>
      </c>
      <c r="F10" s="1">
        <f t="shared" si="5"/>
        <v>0.0684009228</v>
      </c>
      <c r="K10" s="2">
        <v>8.0E-5</v>
      </c>
      <c r="L10" s="2">
        <f t="shared" si="6"/>
        <v>0.00000001279999995</v>
      </c>
      <c r="M10" s="2">
        <f t="shared" si="7"/>
        <v>0.00001483519994</v>
      </c>
      <c r="N10" s="2">
        <f t="shared" si="8"/>
        <v>0.0002404867397</v>
      </c>
      <c r="O10" s="2"/>
      <c r="R10" s="4"/>
    </row>
    <row r="11" ht="14.25" customHeight="1">
      <c r="A11" s="1">
        <v>81.0</v>
      </c>
      <c r="B11" s="1">
        <f t="shared" si="1"/>
        <v>1.413</v>
      </c>
      <c r="C11" s="1">
        <f t="shared" si="2"/>
        <v>0.05129469595</v>
      </c>
      <c r="D11" s="1">
        <f t="shared" si="3"/>
        <v>0.03411097281</v>
      </c>
      <c r="E11" s="1">
        <f t="shared" si="4"/>
        <v>-0.03411097281</v>
      </c>
      <c r="F11" s="1">
        <f t="shared" si="5"/>
        <v>0.06822194561</v>
      </c>
      <c r="K11" s="2">
        <v>9.0E-5</v>
      </c>
      <c r="L11" s="2">
        <f t="shared" si="6"/>
        <v>0.00000001619999979</v>
      </c>
      <c r="M11" s="2">
        <f t="shared" si="7"/>
        <v>0.00001877579975</v>
      </c>
      <c r="N11" s="2">
        <f t="shared" si="8"/>
        <v>0.0002705486473</v>
      </c>
      <c r="O11" s="2"/>
      <c r="P11" s="4" t="s">
        <v>21</v>
      </c>
      <c r="Q11" s="3"/>
      <c r="R11" s="4"/>
    </row>
    <row r="12" ht="14.25" customHeight="1">
      <c r="A12" s="1">
        <v>80.0</v>
      </c>
      <c r="B12" s="1">
        <f t="shared" si="1"/>
        <v>1.395555556</v>
      </c>
      <c r="C12" s="1">
        <f t="shared" si="2"/>
        <v>0.05114451761</v>
      </c>
      <c r="D12" s="1">
        <f t="shared" si="3"/>
        <v>0.03401110421</v>
      </c>
      <c r="E12" s="1">
        <f t="shared" si="4"/>
        <v>-0.03401110421</v>
      </c>
      <c r="F12" s="1">
        <f t="shared" si="5"/>
        <v>0.06802220842</v>
      </c>
      <c r="K12" s="2">
        <v>1.0E-4</v>
      </c>
      <c r="L12" s="2">
        <f t="shared" si="6"/>
        <v>0.00000001999999988</v>
      </c>
      <c r="M12" s="2">
        <f t="shared" si="7"/>
        <v>0.00002317999986</v>
      </c>
      <c r="N12" s="2">
        <f t="shared" si="8"/>
        <v>0.0003006109309</v>
      </c>
      <c r="O12" s="2"/>
      <c r="P12" s="2"/>
      <c r="Q12" s="2" t="s">
        <v>22</v>
      </c>
      <c r="R12" s="4"/>
    </row>
    <row r="13" ht="14.25" customHeight="1">
      <c r="A13" s="1">
        <v>79.0</v>
      </c>
      <c r="B13" s="1">
        <f t="shared" si="1"/>
        <v>1.378111111</v>
      </c>
      <c r="C13" s="1">
        <f t="shared" si="2"/>
        <v>0.05097877595</v>
      </c>
      <c r="D13" s="1">
        <f t="shared" si="3"/>
        <v>0.03390088601</v>
      </c>
      <c r="E13" s="1">
        <f t="shared" si="4"/>
        <v>-0.03390088601</v>
      </c>
      <c r="F13" s="1">
        <f t="shared" si="5"/>
        <v>0.06780177201</v>
      </c>
      <c r="K13" s="2">
        <v>1.1E-4</v>
      </c>
      <c r="L13" s="2">
        <f t="shared" si="6"/>
        <v>0.00000002419999978</v>
      </c>
      <c r="M13" s="2">
        <f t="shared" si="7"/>
        <v>0.00002804779975</v>
      </c>
      <c r="N13" s="2">
        <f t="shared" si="8"/>
        <v>0.0003306736322</v>
      </c>
      <c r="O13" s="2"/>
      <c r="P13" s="4" t="s">
        <v>23</v>
      </c>
      <c r="Q13" s="4"/>
      <c r="R13" s="4"/>
    </row>
    <row r="14" ht="14.25" customHeight="1">
      <c r="A14" s="1">
        <v>78.0</v>
      </c>
      <c r="B14" s="1">
        <f t="shared" si="1"/>
        <v>1.360666667</v>
      </c>
      <c r="C14" s="1">
        <f t="shared" si="2"/>
        <v>0.0507975214</v>
      </c>
      <c r="D14" s="1">
        <f t="shared" si="3"/>
        <v>0.03378035173</v>
      </c>
      <c r="E14" s="1">
        <f t="shared" si="4"/>
        <v>-0.03378035173</v>
      </c>
      <c r="F14" s="1">
        <f t="shared" si="5"/>
        <v>0.06756070346</v>
      </c>
      <c r="K14" s="2">
        <v>1.2E-4</v>
      </c>
      <c r="L14" s="2">
        <f t="shared" si="6"/>
        <v>0.00000002879999972</v>
      </c>
      <c r="M14" s="2">
        <f t="shared" si="7"/>
        <v>0.00003337919967</v>
      </c>
      <c r="N14" s="2">
        <f t="shared" si="8"/>
        <v>0.000360736793</v>
      </c>
      <c r="O14" s="2"/>
      <c r="P14" s="4" t="s">
        <v>24</v>
      </c>
      <c r="Q14" s="4"/>
      <c r="R14" s="4"/>
    </row>
    <row r="15" ht="14.25" customHeight="1">
      <c r="A15" s="1">
        <v>77.0</v>
      </c>
      <c r="B15" s="1">
        <f t="shared" si="1"/>
        <v>1.343222222</v>
      </c>
      <c r="C15" s="1">
        <f t="shared" si="2"/>
        <v>0.05060080912</v>
      </c>
      <c r="D15" s="1">
        <f t="shared" si="3"/>
        <v>0.03364953806</v>
      </c>
      <c r="E15" s="1">
        <f t="shared" si="4"/>
        <v>-0.03364953806</v>
      </c>
      <c r="F15" s="1">
        <f t="shared" si="5"/>
        <v>0.06729907613</v>
      </c>
      <c r="K15" s="2">
        <v>1.3E-4</v>
      </c>
      <c r="L15" s="2">
        <f t="shared" si="6"/>
        <v>0.00000003379999947</v>
      </c>
      <c r="M15" s="2">
        <f t="shared" si="7"/>
        <v>0.00003917419938</v>
      </c>
      <c r="N15" s="2">
        <f t="shared" si="8"/>
        <v>0.0003908004551</v>
      </c>
      <c r="O15" s="2"/>
      <c r="P15" s="4" t="s">
        <v>25</v>
      </c>
      <c r="Q15" s="4"/>
      <c r="R15" s="4"/>
    </row>
    <row r="16" ht="14.25" customHeight="1">
      <c r="A16" s="1">
        <v>76.0</v>
      </c>
      <c r="B16" s="1">
        <f t="shared" si="1"/>
        <v>1.325777778</v>
      </c>
      <c r="C16" s="1">
        <f t="shared" si="2"/>
        <v>0.05038869896</v>
      </c>
      <c r="D16" s="1">
        <f t="shared" si="3"/>
        <v>0.03350848481</v>
      </c>
      <c r="E16" s="1">
        <f t="shared" si="4"/>
        <v>-0.03350848481</v>
      </c>
      <c r="F16" s="1">
        <f t="shared" si="5"/>
        <v>0.06701696962</v>
      </c>
      <c r="K16" s="2">
        <v>1.4E-4</v>
      </c>
      <c r="L16" s="2">
        <f t="shared" si="6"/>
        <v>0.00000003919999925</v>
      </c>
      <c r="M16" s="2">
        <f t="shared" si="7"/>
        <v>0.00004543279913</v>
      </c>
      <c r="N16" s="2">
        <f t="shared" si="8"/>
        <v>0.0004208646602</v>
      </c>
      <c r="O16" s="2"/>
      <c r="P16" s="4" t="s">
        <v>26</v>
      </c>
      <c r="Q16" s="4"/>
      <c r="R16" s="4"/>
    </row>
    <row r="17" ht="14.25" customHeight="1">
      <c r="A17" s="1">
        <v>75.0</v>
      </c>
      <c r="B17" s="1">
        <f t="shared" si="1"/>
        <v>1.308333333</v>
      </c>
      <c r="C17" s="1">
        <f t="shared" si="2"/>
        <v>0.05016125548</v>
      </c>
      <c r="D17" s="1">
        <f t="shared" si="3"/>
        <v>0.03335723489</v>
      </c>
      <c r="E17" s="1">
        <f t="shared" si="4"/>
        <v>-0.03335723489</v>
      </c>
      <c r="F17" s="1">
        <f t="shared" si="5"/>
        <v>0.06671446979</v>
      </c>
      <c r="K17" s="2">
        <v>1.5E-4</v>
      </c>
      <c r="L17" s="2">
        <f t="shared" si="6"/>
        <v>0.00000004499999884</v>
      </c>
      <c r="M17" s="2">
        <f t="shared" si="7"/>
        <v>0.00005215499865</v>
      </c>
      <c r="N17" s="2">
        <f t="shared" si="8"/>
        <v>0.0004509294501</v>
      </c>
      <c r="O17" s="2"/>
      <c r="P17" s="4" t="s">
        <v>27</v>
      </c>
      <c r="Q17" s="4"/>
      <c r="R17" s="4"/>
    </row>
    <row r="18" ht="14.25" customHeight="1">
      <c r="A18" s="1">
        <v>74.0</v>
      </c>
      <c r="B18" s="1">
        <f t="shared" si="1"/>
        <v>1.290888889</v>
      </c>
      <c r="C18" s="1">
        <f t="shared" si="2"/>
        <v>0.04991854788</v>
      </c>
      <c r="D18" s="1">
        <f t="shared" si="3"/>
        <v>0.03319583434</v>
      </c>
      <c r="E18" s="1">
        <f t="shared" si="4"/>
        <v>-0.03319583434</v>
      </c>
      <c r="F18" s="1">
        <f t="shared" si="5"/>
        <v>0.06639166868</v>
      </c>
      <c r="K18" s="2">
        <v>1.6E-4</v>
      </c>
      <c r="L18" s="2">
        <f t="shared" si="6"/>
        <v>0.00000005119999869</v>
      </c>
      <c r="M18" s="2">
        <f t="shared" si="7"/>
        <v>0.00005934079848</v>
      </c>
      <c r="N18" s="2">
        <f t="shared" si="8"/>
        <v>0.0004809948666</v>
      </c>
      <c r="O18" s="2"/>
      <c r="P18" s="4" t="s">
        <v>28</v>
      </c>
      <c r="Q18" s="4"/>
      <c r="R18" s="4"/>
    </row>
    <row r="19" ht="14.25" customHeight="1">
      <c r="A19" s="1">
        <v>73.0</v>
      </c>
      <c r="B19" s="1">
        <f t="shared" si="1"/>
        <v>1.273444444</v>
      </c>
      <c r="C19" s="1">
        <f t="shared" si="2"/>
        <v>0.04966065002</v>
      </c>
      <c r="D19" s="1">
        <f t="shared" si="3"/>
        <v>0.03302433226</v>
      </c>
      <c r="E19" s="1">
        <f t="shared" si="4"/>
        <v>-0.03302433226</v>
      </c>
      <c r="F19" s="1">
        <f t="shared" si="5"/>
        <v>0.06604866453</v>
      </c>
      <c r="K19" s="2">
        <v>1.7E-4</v>
      </c>
      <c r="L19" s="2">
        <f t="shared" si="6"/>
        <v>0.00000005779999834</v>
      </c>
      <c r="M19" s="2">
        <f t="shared" si="7"/>
        <v>0.00006699019808</v>
      </c>
      <c r="N19" s="2">
        <f t="shared" si="8"/>
        <v>0.0005110609514</v>
      </c>
      <c r="O19" s="2"/>
      <c r="P19" s="4" t="s">
        <v>29</v>
      </c>
      <c r="Q19" s="2">
        <v>871.0</v>
      </c>
      <c r="R19" s="4"/>
    </row>
    <row r="20" ht="14.25" customHeight="1">
      <c r="A20" s="1">
        <v>72.0</v>
      </c>
      <c r="B20" s="1">
        <f t="shared" si="1"/>
        <v>1.256</v>
      </c>
      <c r="C20" s="1">
        <f t="shared" si="2"/>
        <v>0.04938764038</v>
      </c>
      <c r="D20" s="1">
        <f t="shared" si="3"/>
        <v>0.03284278085</v>
      </c>
      <c r="E20" s="1">
        <f t="shared" si="4"/>
        <v>-0.03284278085</v>
      </c>
      <c r="F20" s="1">
        <f t="shared" si="5"/>
        <v>0.0656855617</v>
      </c>
      <c r="K20" s="2">
        <v>1.8E-4</v>
      </c>
      <c r="L20" s="2">
        <f t="shared" si="6"/>
        <v>0.00000006479999803</v>
      </c>
      <c r="M20" s="2">
        <f t="shared" si="7"/>
        <v>0.00007510319772</v>
      </c>
      <c r="N20" s="2">
        <f t="shared" si="8"/>
        <v>0.0005411277464</v>
      </c>
      <c r="O20" s="2"/>
      <c r="P20" s="4"/>
      <c r="Q20" s="4"/>
      <c r="R20" s="4"/>
    </row>
    <row r="21" ht="14.25" customHeight="1">
      <c r="A21" s="1">
        <v>71.0</v>
      </c>
      <c r="B21" s="1">
        <f t="shared" si="1"/>
        <v>1.238555556</v>
      </c>
      <c r="C21" s="1">
        <f t="shared" si="2"/>
        <v>0.04909960203</v>
      </c>
      <c r="D21" s="1">
        <f t="shared" si="3"/>
        <v>0.03265123535</v>
      </c>
      <c r="E21" s="1">
        <f t="shared" si="4"/>
        <v>-0.03265123535</v>
      </c>
      <c r="F21" s="1">
        <f t="shared" si="5"/>
        <v>0.0653024707</v>
      </c>
      <c r="K21" s="2">
        <v>1.9E-4</v>
      </c>
      <c r="L21" s="2">
        <f t="shared" si="6"/>
        <v>0.00000007219999731</v>
      </c>
      <c r="M21" s="2">
        <f t="shared" si="7"/>
        <v>0.00008367979689</v>
      </c>
      <c r="N21" s="2">
        <f t="shared" si="8"/>
        <v>0.0005711952933</v>
      </c>
      <c r="O21" s="2"/>
      <c r="P21" s="4"/>
      <c r="Q21" s="4"/>
      <c r="R21" s="4"/>
    </row>
    <row r="22" ht="14.25" customHeight="1">
      <c r="A22" s="1">
        <v>70.0</v>
      </c>
      <c r="B22" s="1">
        <f t="shared" si="1"/>
        <v>1.221111111</v>
      </c>
      <c r="C22" s="1">
        <f t="shared" si="2"/>
        <v>0.04879662263</v>
      </c>
      <c r="D22" s="1">
        <f t="shared" si="3"/>
        <v>0.03244975405</v>
      </c>
      <c r="E22" s="1">
        <f t="shared" si="4"/>
        <v>-0.03244975405</v>
      </c>
      <c r="F22" s="1">
        <f t="shared" si="5"/>
        <v>0.0648995081</v>
      </c>
      <c r="G22" s="1">
        <f t="shared" ref="G22:G72" si="10">31.05*C22*C22 +6.726*C22 - 0.06</f>
        <v>0.3421395611</v>
      </c>
      <c r="K22" s="2">
        <v>2.0E-4</v>
      </c>
      <c r="L22" s="2">
        <f t="shared" si="6"/>
        <v>0.00000007999999685</v>
      </c>
      <c r="M22" s="2">
        <f t="shared" si="7"/>
        <v>0.00009271999635</v>
      </c>
      <c r="N22" s="2">
        <f t="shared" si="8"/>
        <v>0.0006012636338</v>
      </c>
      <c r="O22" s="2"/>
      <c r="P22" s="4" t="s">
        <v>30</v>
      </c>
      <c r="Q22" s="4"/>
      <c r="R22" s="4"/>
    </row>
    <row r="23" ht="14.25" customHeight="1">
      <c r="A23" s="1">
        <v>69.0</v>
      </c>
      <c r="B23" s="1">
        <f t="shared" si="1"/>
        <v>1.203666667</v>
      </c>
      <c r="C23" s="1">
        <f t="shared" si="2"/>
        <v>0.04847879437</v>
      </c>
      <c r="D23" s="1">
        <f t="shared" si="3"/>
        <v>0.03223839826</v>
      </c>
      <c r="E23" s="1">
        <f t="shared" si="4"/>
        <v>-0.03223839826</v>
      </c>
      <c r="F23" s="1">
        <f t="shared" si="5"/>
        <v>0.06447679652</v>
      </c>
      <c r="G23" s="1">
        <f t="shared" si="10"/>
        <v>0.3390418793</v>
      </c>
      <c r="K23" s="2">
        <v>2.1E-4</v>
      </c>
      <c r="L23" s="2">
        <f t="shared" si="6"/>
        <v>0.00000008819999597</v>
      </c>
      <c r="M23" s="2">
        <f t="shared" si="7"/>
        <v>0.0001022237953</v>
      </c>
      <c r="N23" s="2">
        <f t="shared" si="8"/>
        <v>0.0006313328097</v>
      </c>
      <c r="O23" s="2"/>
      <c r="P23" s="4"/>
      <c r="Q23" s="2" t="s">
        <v>31</v>
      </c>
      <c r="R23" s="4"/>
    </row>
    <row r="24" ht="14.25" customHeight="1">
      <c r="A24" s="1">
        <v>68.0</v>
      </c>
      <c r="B24" s="1">
        <f t="shared" si="1"/>
        <v>1.186222222</v>
      </c>
      <c r="C24" s="1">
        <f t="shared" si="2"/>
        <v>0.04814621397</v>
      </c>
      <c r="D24" s="1">
        <f t="shared" si="3"/>
        <v>0.03201723229</v>
      </c>
      <c r="E24" s="1">
        <f t="shared" si="4"/>
        <v>-0.03201723229</v>
      </c>
      <c r="F24" s="1">
        <f t="shared" si="5"/>
        <v>0.06403446459</v>
      </c>
      <c r="G24" s="1">
        <f t="shared" si="10"/>
        <v>0.3358071336</v>
      </c>
      <c r="K24" s="2">
        <v>2.2E-4</v>
      </c>
      <c r="L24" s="2">
        <f t="shared" si="6"/>
        <v>0.00000009679999535</v>
      </c>
      <c r="M24" s="2">
        <f t="shared" si="7"/>
        <v>0.0001121911946</v>
      </c>
      <c r="N24" s="2">
        <f t="shared" si="8"/>
        <v>0.0006614028629</v>
      </c>
      <c r="O24" s="2"/>
      <c r="P24" s="2" t="s">
        <v>32</v>
      </c>
      <c r="Q24" s="4" t="s">
        <v>33</v>
      </c>
      <c r="R24" s="4"/>
    </row>
    <row r="25" ht="14.25" customHeight="1">
      <c r="A25" s="1">
        <v>67.0</v>
      </c>
      <c r="B25" s="1">
        <f t="shared" si="1"/>
        <v>1.168777778</v>
      </c>
      <c r="C25" s="1">
        <f t="shared" si="2"/>
        <v>0.04779898264</v>
      </c>
      <c r="D25" s="1">
        <f t="shared" si="3"/>
        <v>0.03178632345</v>
      </c>
      <c r="E25" s="1">
        <f t="shared" si="4"/>
        <v>-0.03178632345</v>
      </c>
      <c r="F25" s="1">
        <f t="shared" si="5"/>
        <v>0.06357264691</v>
      </c>
      <c r="G25" s="1">
        <f t="shared" si="10"/>
        <v>0.3324372193</v>
      </c>
      <c r="K25" s="2">
        <v>2.3E-4</v>
      </c>
      <c r="L25" s="2">
        <f t="shared" si="6"/>
        <v>0.0000001057999943</v>
      </c>
      <c r="M25" s="2">
        <f t="shared" si="7"/>
        <v>0.0001226221934</v>
      </c>
      <c r="N25" s="2">
        <f t="shared" si="8"/>
        <v>0.0006914738351</v>
      </c>
      <c r="O25" s="2"/>
      <c r="P25" s="2" t="s">
        <v>34</v>
      </c>
      <c r="Q25" s="2" t="s">
        <v>35</v>
      </c>
      <c r="R25" s="4"/>
    </row>
    <row r="26" ht="14.25" customHeight="1">
      <c r="A26" s="1">
        <v>66.0</v>
      </c>
      <c r="B26" s="1">
        <f t="shared" si="1"/>
        <v>1.151333333</v>
      </c>
      <c r="C26" s="1">
        <f t="shared" si="2"/>
        <v>0.04743720602</v>
      </c>
      <c r="D26" s="1">
        <f t="shared" si="3"/>
        <v>0.03154574201</v>
      </c>
      <c r="E26" s="1">
        <f t="shared" si="4"/>
        <v>-0.03154574201</v>
      </c>
      <c r="F26" s="1">
        <f t="shared" si="5"/>
        <v>0.06309148401</v>
      </c>
      <c r="G26" s="1">
        <f t="shared" si="10"/>
        <v>0.3289341061</v>
      </c>
      <c r="K26" s="2">
        <v>2.4E-4</v>
      </c>
      <c r="L26" s="2">
        <f t="shared" si="6"/>
        <v>0.0000001151999933</v>
      </c>
      <c r="M26" s="2">
        <f t="shared" si="7"/>
        <v>0.0001335167923</v>
      </c>
      <c r="N26" s="2">
        <f t="shared" si="8"/>
        <v>0.000721545768</v>
      </c>
      <c r="O26" s="2"/>
      <c r="P26" s="4"/>
      <c r="Q26" s="4"/>
      <c r="R26" s="4"/>
    </row>
    <row r="27" ht="14.25" customHeight="1">
      <c r="A27" s="1">
        <v>65.0</v>
      </c>
      <c r="B27" s="1">
        <f t="shared" si="1"/>
        <v>1.133888889</v>
      </c>
      <c r="C27" s="1">
        <f t="shared" si="2"/>
        <v>0.04706099423</v>
      </c>
      <c r="D27" s="1">
        <f t="shared" si="3"/>
        <v>0.03129556116</v>
      </c>
      <c r="E27" s="1">
        <f t="shared" si="4"/>
        <v>-0.03129556116</v>
      </c>
      <c r="F27" s="1">
        <f t="shared" si="5"/>
        <v>0.06259112232</v>
      </c>
      <c r="G27" s="1">
        <f t="shared" si="10"/>
        <v>0.3252998365</v>
      </c>
      <c r="K27" s="2">
        <v>2.5E-4</v>
      </c>
      <c r="L27" s="2">
        <f t="shared" si="6"/>
        <v>0.0000001249999921</v>
      </c>
      <c r="M27" s="2">
        <f t="shared" si="7"/>
        <v>0.0001448749909</v>
      </c>
      <c r="N27" s="2">
        <f t="shared" si="8"/>
        <v>0.0007516187034</v>
      </c>
      <c r="O27" s="2"/>
      <c r="P27" s="2"/>
      <c r="Q27" s="2"/>
      <c r="R27" s="4"/>
    </row>
    <row r="28" ht="14.25" customHeight="1">
      <c r="A28" s="1">
        <v>64.0</v>
      </c>
      <c r="B28" s="1">
        <f t="shared" si="1"/>
        <v>1.116444444</v>
      </c>
      <c r="C28" s="1">
        <f t="shared" si="2"/>
        <v>0.04667046172</v>
      </c>
      <c r="D28" s="1">
        <f t="shared" si="3"/>
        <v>0.03103585705</v>
      </c>
      <c r="E28" s="1">
        <f t="shared" si="4"/>
        <v>-0.03103585705</v>
      </c>
      <c r="F28" s="1">
        <f t="shared" si="5"/>
        <v>0.06207171409</v>
      </c>
      <c r="G28" s="1">
        <f t="shared" si="10"/>
        <v>0.3215365241</v>
      </c>
      <c r="K28" s="2">
        <v>2.6E-4</v>
      </c>
      <c r="L28" s="2">
        <f t="shared" si="6"/>
        <v>0.0000001351999908</v>
      </c>
      <c r="M28" s="2">
        <f t="shared" si="7"/>
        <v>0.0001566967893</v>
      </c>
      <c r="N28" s="2">
        <f t="shared" si="8"/>
        <v>0.0007816926831</v>
      </c>
      <c r="O28" s="2"/>
      <c r="P28" s="2"/>
      <c r="Q28" s="2"/>
      <c r="R28" s="4"/>
    </row>
    <row r="29" ht="14.25" customHeight="1">
      <c r="A29" s="1">
        <v>63.0</v>
      </c>
      <c r="B29" s="1">
        <f t="shared" si="1"/>
        <v>1.099</v>
      </c>
      <c r="C29" s="1">
        <f t="shared" si="2"/>
        <v>0.04626572736</v>
      </c>
      <c r="D29" s="1">
        <f t="shared" si="3"/>
        <v>0.03076670869</v>
      </c>
      <c r="E29" s="1">
        <f t="shared" si="4"/>
        <v>-0.03076670869</v>
      </c>
      <c r="F29" s="1">
        <f t="shared" si="5"/>
        <v>0.06153341739</v>
      </c>
      <c r="G29" s="1">
        <f t="shared" si="10"/>
        <v>0.3176463515</v>
      </c>
      <c r="K29" s="2">
        <v>2.7E-4</v>
      </c>
      <c r="L29" s="2">
        <f t="shared" si="6"/>
        <v>0.0000001457999894</v>
      </c>
      <c r="M29" s="2">
        <f t="shared" si="7"/>
        <v>0.0001689821877</v>
      </c>
      <c r="N29" s="2">
        <f t="shared" si="8"/>
        <v>0.0008117677489</v>
      </c>
      <c r="O29" s="2"/>
      <c r="P29" s="2"/>
      <c r="Q29" s="2"/>
      <c r="R29" s="4"/>
    </row>
    <row r="30" ht="14.25" customHeight="1">
      <c r="A30" s="1">
        <v>62.0</v>
      </c>
      <c r="B30" s="1">
        <f t="shared" si="1"/>
        <v>1.081555556</v>
      </c>
      <c r="C30" s="1">
        <f t="shared" si="2"/>
        <v>0.04584691429</v>
      </c>
      <c r="D30" s="1">
        <f t="shared" si="3"/>
        <v>0.030488198</v>
      </c>
      <c r="E30" s="1">
        <f t="shared" si="4"/>
        <v>-0.030488198</v>
      </c>
      <c r="F30" s="1">
        <f t="shared" si="5"/>
        <v>0.060976396</v>
      </c>
      <c r="G30" s="1">
        <f t="shared" si="10"/>
        <v>0.3136315685</v>
      </c>
      <c r="K30" s="2">
        <v>2.8E-4</v>
      </c>
      <c r="L30" s="2">
        <f t="shared" si="6"/>
        <v>0.0000001567999877</v>
      </c>
      <c r="M30" s="2">
        <f t="shared" si="7"/>
        <v>0.0001817311857</v>
      </c>
      <c r="N30" s="2">
        <f t="shared" si="8"/>
        <v>0.0008418439426</v>
      </c>
      <c r="O30" s="2"/>
      <c r="P30" s="4"/>
      <c r="Q30" s="4"/>
      <c r="R30" s="4"/>
    </row>
    <row r="31" ht="14.25" customHeight="1">
      <c r="A31" s="1">
        <v>61.0</v>
      </c>
      <c r="B31" s="1">
        <f t="shared" si="1"/>
        <v>1.064111111</v>
      </c>
      <c r="C31" s="1">
        <f t="shared" si="2"/>
        <v>0.04541414996</v>
      </c>
      <c r="D31" s="1">
        <f t="shared" si="3"/>
        <v>0.03020040972</v>
      </c>
      <c r="E31" s="1">
        <f t="shared" si="4"/>
        <v>-0.03020040972</v>
      </c>
      <c r="F31" s="1">
        <f t="shared" si="5"/>
        <v>0.06040081945</v>
      </c>
      <c r="G31" s="1">
        <f t="shared" si="10"/>
        <v>0.3094944904</v>
      </c>
      <c r="K31" s="2">
        <v>2.9E-4</v>
      </c>
      <c r="L31" s="2">
        <f t="shared" si="6"/>
        <v>0.0000001681999859</v>
      </c>
      <c r="M31" s="2">
        <f t="shared" si="7"/>
        <v>0.0001949437837</v>
      </c>
      <c r="N31" s="2">
        <f t="shared" si="8"/>
        <v>0.0008719213058</v>
      </c>
      <c r="O31" s="2"/>
      <c r="P31" s="4"/>
      <c r="Q31" s="4"/>
      <c r="R31" s="4"/>
    </row>
    <row r="32" ht="14.25" customHeight="1">
      <c r="A32" s="1">
        <v>60.0</v>
      </c>
      <c r="B32" s="1">
        <f t="shared" si="1"/>
        <v>1.046666667</v>
      </c>
      <c r="C32" s="1">
        <f t="shared" si="2"/>
        <v>0.04496756606</v>
      </c>
      <c r="D32" s="1">
        <f t="shared" si="3"/>
        <v>0.02990343143</v>
      </c>
      <c r="E32" s="1">
        <f t="shared" si="4"/>
        <v>-0.02990343143</v>
      </c>
      <c r="F32" s="1">
        <f t="shared" si="5"/>
        <v>0.05980686286</v>
      </c>
      <c r="G32" s="1">
        <f t="shared" si="10"/>
        <v>0.3052374954</v>
      </c>
      <c r="K32" s="2">
        <v>3.0E-4</v>
      </c>
      <c r="L32" s="2">
        <f t="shared" si="6"/>
        <v>0.0000001799999838</v>
      </c>
      <c r="M32" s="2">
        <f t="shared" si="7"/>
        <v>0.0002086199812</v>
      </c>
      <c r="N32" s="2">
        <f t="shared" si="8"/>
        <v>0.0009019998804</v>
      </c>
      <c r="O32" s="2"/>
      <c r="P32" s="4"/>
      <c r="Q32" s="4"/>
      <c r="R32" s="4"/>
    </row>
    <row r="33" ht="14.25" customHeight="1">
      <c r="A33" s="1">
        <v>59.0</v>
      </c>
      <c r="B33" s="1">
        <f t="shared" si="1"/>
        <v>1.029222222</v>
      </c>
      <c r="C33" s="1">
        <f t="shared" si="2"/>
        <v>0.04450729849</v>
      </c>
      <c r="D33" s="1">
        <f t="shared" si="3"/>
        <v>0.0295973535</v>
      </c>
      <c r="E33" s="1">
        <f t="shared" si="4"/>
        <v>-0.0295973535</v>
      </c>
      <c r="F33" s="1">
        <f t="shared" si="5"/>
        <v>0.059194707</v>
      </c>
      <c r="G33" s="1">
        <f t="shared" si="10"/>
        <v>0.3008630229</v>
      </c>
      <c r="K33" s="2">
        <v>3.1E-4</v>
      </c>
      <c r="L33" s="2">
        <f t="shared" si="6"/>
        <v>0.0000001921999815</v>
      </c>
      <c r="M33" s="2">
        <f t="shared" si="7"/>
        <v>0.0002227597785</v>
      </c>
      <c r="N33" s="2">
        <f t="shared" si="8"/>
        <v>0.0009320797082</v>
      </c>
      <c r="O33" s="2"/>
      <c r="P33" s="4"/>
      <c r="Q33" s="4"/>
      <c r="R33" s="4"/>
    </row>
    <row r="34" ht="14.25" customHeight="1">
      <c r="A34" s="1">
        <v>58.0</v>
      </c>
      <c r="B34" s="1">
        <f t="shared" si="1"/>
        <v>1.011777778</v>
      </c>
      <c r="C34" s="1">
        <f t="shared" si="2"/>
        <v>0.04403348731</v>
      </c>
      <c r="D34" s="1">
        <f t="shared" si="3"/>
        <v>0.02928226906</v>
      </c>
      <c r="E34" s="1">
        <f t="shared" si="4"/>
        <v>-0.02928226906</v>
      </c>
      <c r="F34" s="1">
        <f t="shared" si="5"/>
        <v>0.05856453813</v>
      </c>
      <c r="G34" s="1">
        <f t="shared" si="10"/>
        <v>0.2963735712</v>
      </c>
      <c r="K34" s="2">
        <v>3.2E-4</v>
      </c>
      <c r="L34" s="2">
        <f t="shared" si="6"/>
        <v>0.000000204799979</v>
      </c>
      <c r="M34" s="2">
        <f t="shared" si="7"/>
        <v>0.0002373631756</v>
      </c>
      <c r="N34" s="2">
        <f t="shared" si="8"/>
        <v>0.000962160831</v>
      </c>
      <c r="O34" s="2"/>
      <c r="P34" s="4"/>
      <c r="Q34" s="4"/>
      <c r="R34" s="4"/>
    </row>
    <row r="35" ht="14.25" customHeight="1">
      <c r="A35" s="1">
        <v>57.0</v>
      </c>
      <c r="B35" s="1">
        <f t="shared" si="1"/>
        <v>0.9943333333</v>
      </c>
      <c r="C35" s="1">
        <f t="shared" si="2"/>
        <v>0.0435462767</v>
      </c>
      <c r="D35" s="1">
        <f t="shared" si="3"/>
        <v>0.02895827401</v>
      </c>
      <c r="E35" s="1">
        <f t="shared" si="4"/>
        <v>-0.02895827401</v>
      </c>
      <c r="F35" s="1">
        <f t="shared" si="5"/>
        <v>0.05791654802</v>
      </c>
      <c r="G35" s="1">
        <f t="shared" si="10"/>
        <v>0.2917716957</v>
      </c>
      <c r="K35" s="2">
        <v>3.3E-4</v>
      </c>
      <c r="L35" s="2">
        <f t="shared" si="6"/>
        <v>0.0000002177999763</v>
      </c>
      <c r="M35" s="2">
        <f t="shared" si="7"/>
        <v>0.0002524301725</v>
      </c>
      <c r="N35" s="2">
        <f t="shared" si="8"/>
        <v>0.0009922432904</v>
      </c>
      <c r="O35" s="2"/>
      <c r="P35" s="2"/>
      <c r="Q35" s="2"/>
      <c r="R35" s="4"/>
    </row>
    <row r="36" ht="14.25" customHeight="1">
      <c r="A36" s="1">
        <v>56.0</v>
      </c>
      <c r="B36" s="1">
        <f t="shared" si="1"/>
        <v>0.9768888889</v>
      </c>
      <c r="C36" s="1">
        <f t="shared" si="2"/>
        <v>0.04304581492</v>
      </c>
      <c r="D36" s="1">
        <f t="shared" si="3"/>
        <v>0.02862546692</v>
      </c>
      <c r="E36" s="1">
        <f t="shared" si="4"/>
        <v>-0.02862546692</v>
      </c>
      <c r="F36" s="1">
        <f t="shared" si="5"/>
        <v>0.05725093384</v>
      </c>
      <c r="G36" s="1">
        <f t="shared" si="10"/>
        <v>0.2870600059</v>
      </c>
      <c r="K36" s="2">
        <v>3.4E-4</v>
      </c>
      <c r="L36" s="2">
        <f t="shared" si="6"/>
        <v>0.0000002311999734</v>
      </c>
      <c r="M36" s="2">
        <f t="shared" si="7"/>
        <v>0.0002679607692</v>
      </c>
      <c r="N36" s="2">
        <f t="shared" si="8"/>
        <v>0.001022327128</v>
      </c>
      <c r="O36" s="2"/>
      <c r="P36" s="2"/>
      <c r="Q36" s="4"/>
      <c r="R36" s="4"/>
    </row>
    <row r="37" ht="14.25" customHeight="1">
      <c r="A37" s="1">
        <v>55.0</v>
      </c>
      <c r="B37" s="1">
        <f t="shared" si="1"/>
        <v>0.9594444444</v>
      </c>
      <c r="C37" s="1">
        <f t="shared" si="2"/>
        <v>0.04253225425</v>
      </c>
      <c r="D37" s="1">
        <f t="shared" si="3"/>
        <v>0.02828394908</v>
      </c>
      <c r="E37" s="1">
        <f t="shared" si="4"/>
        <v>-0.02828394908</v>
      </c>
      <c r="F37" s="1">
        <f t="shared" si="5"/>
        <v>0.05656789816</v>
      </c>
      <c r="G37" s="1">
        <f t="shared" si="10"/>
        <v>0.282241164</v>
      </c>
      <c r="K37" s="2">
        <v>3.5E-4</v>
      </c>
      <c r="L37" s="2">
        <f t="shared" si="6"/>
        <v>0.0000002449999699</v>
      </c>
      <c r="M37" s="2">
        <f t="shared" si="7"/>
        <v>0.0002839549651</v>
      </c>
      <c r="N37" s="2">
        <f t="shared" si="8"/>
        <v>0.001052412386</v>
      </c>
      <c r="O37" s="2"/>
      <c r="P37" s="2"/>
      <c r="Q37" s="2"/>
      <c r="R37" s="4"/>
    </row>
    <row r="38" ht="14.25" customHeight="1">
      <c r="A38" s="1">
        <v>54.0</v>
      </c>
      <c r="B38" s="1">
        <f t="shared" si="1"/>
        <v>0.942</v>
      </c>
      <c r="C38" s="1">
        <f t="shared" si="2"/>
        <v>0.04200575099</v>
      </c>
      <c r="D38" s="1">
        <f t="shared" si="3"/>
        <v>0.02793382441</v>
      </c>
      <c r="E38" s="1">
        <f t="shared" si="4"/>
        <v>-0.02793382441</v>
      </c>
      <c r="F38" s="1">
        <f t="shared" si="5"/>
        <v>0.05586764881</v>
      </c>
      <c r="G38" s="1">
        <f t="shared" si="10"/>
        <v>0.2773178819</v>
      </c>
      <c r="K38" s="2">
        <v>3.6E-4</v>
      </c>
      <c r="L38" s="2">
        <f t="shared" si="6"/>
        <v>0.0000002591999664</v>
      </c>
      <c r="M38" s="2">
        <f t="shared" si="7"/>
        <v>0.000300412761</v>
      </c>
      <c r="N38" s="2">
        <f t="shared" si="8"/>
        <v>0.001082499107</v>
      </c>
      <c r="O38" s="2"/>
      <c r="P38" s="2"/>
      <c r="Q38" s="2"/>
      <c r="R38" s="4"/>
    </row>
    <row r="39" ht="14.25" customHeight="1">
      <c r="A39" s="1">
        <v>53.0</v>
      </c>
      <c r="B39" s="1">
        <f t="shared" si="1"/>
        <v>0.9245555556</v>
      </c>
      <c r="C39" s="1">
        <f t="shared" si="2"/>
        <v>0.04146646533</v>
      </c>
      <c r="D39" s="1">
        <f t="shared" si="3"/>
        <v>0.02757519944</v>
      </c>
      <c r="E39" s="1">
        <f t="shared" si="4"/>
        <v>-0.02757519944</v>
      </c>
      <c r="F39" s="1">
        <f t="shared" si="5"/>
        <v>0.05515039888</v>
      </c>
      <c r="G39" s="1">
        <f t="shared" si="10"/>
        <v>0.2722929193</v>
      </c>
      <c r="K39" s="2">
        <v>3.7E-4</v>
      </c>
      <c r="L39" s="2">
        <f t="shared" si="6"/>
        <v>0.0000002737999625</v>
      </c>
      <c r="M39" s="2">
        <f t="shared" si="7"/>
        <v>0.0003173341565</v>
      </c>
      <c r="N39" s="2">
        <f t="shared" si="8"/>
        <v>0.001112587331</v>
      </c>
      <c r="O39" s="2"/>
      <c r="P39" s="2"/>
      <c r="Q39" s="2"/>
      <c r="R39" s="4"/>
    </row>
    <row r="40" ht="14.25" customHeight="1">
      <c r="A40" s="1">
        <v>52.0</v>
      </c>
      <c r="B40" s="1">
        <f t="shared" si="1"/>
        <v>0.9071111111</v>
      </c>
      <c r="C40" s="1">
        <f t="shared" si="2"/>
        <v>0.04091456139</v>
      </c>
      <c r="D40" s="1">
        <f t="shared" si="3"/>
        <v>0.02720818332</v>
      </c>
      <c r="E40" s="1">
        <f t="shared" si="4"/>
        <v>-0.02720818332</v>
      </c>
      <c r="F40" s="1">
        <f t="shared" si="5"/>
        <v>0.05441636664</v>
      </c>
      <c r="G40" s="1">
        <f t="shared" si="10"/>
        <v>0.2671690813</v>
      </c>
      <c r="K40" s="2">
        <v>3.8E-4</v>
      </c>
      <c r="L40" s="2">
        <f t="shared" si="6"/>
        <v>0.0000002887999584</v>
      </c>
      <c r="M40" s="2">
        <f t="shared" si="7"/>
        <v>0.0003347191518</v>
      </c>
      <c r="N40" s="2">
        <f t="shared" si="8"/>
        <v>0.0011426771</v>
      </c>
      <c r="O40" s="2"/>
      <c r="P40" s="2"/>
      <c r="Q40" s="2"/>
      <c r="R40" s="4"/>
    </row>
    <row r="41" ht="14.25" customHeight="1">
      <c r="A41" s="1">
        <v>51.0</v>
      </c>
      <c r="B41" s="1">
        <f t="shared" si="1"/>
        <v>0.8896666667</v>
      </c>
      <c r="C41" s="1">
        <f t="shared" si="2"/>
        <v>0.0403502071</v>
      </c>
      <c r="D41" s="1">
        <f t="shared" si="3"/>
        <v>0.02683288772</v>
      </c>
      <c r="E41" s="1">
        <f t="shared" si="4"/>
        <v>-0.02683288772</v>
      </c>
      <c r="F41" s="1">
        <f t="shared" si="5"/>
        <v>0.05366577545</v>
      </c>
      <c r="G41" s="1">
        <f t="shared" si="10"/>
        <v>0.2619492156</v>
      </c>
      <c r="K41" s="2">
        <v>3.9E-4</v>
      </c>
      <c r="L41" s="2">
        <f t="shared" si="6"/>
        <v>0.0000003041999537</v>
      </c>
      <c r="M41" s="2">
        <f t="shared" si="7"/>
        <v>0.0003525677463</v>
      </c>
      <c r="N41" s="2">
        <f t="shared" si="8"/>
        <v>0.001172768457</v>
      </c>
      <c r="O41" s="2"/>
      <c r="P41" s="2"/>
      <c r="Q41" s="2"/>
      <c r="R41" s="4"/>
    </row>
    <row r="42" ht="14.25" customHeight="1">
      <c r="A42" s="1">
        <v>50.0</v>
      </c>
      <c r="B42" s="1">
        <f t="shared" si="1"/>
        <v>0.8722222222</v>
      </c>
      <c r="C42" s="1">
        <f t="shared" si="2"/>
        <v>0.03977357422</v>
      </c>
      <c r="D42" s="1">
        <f t="shared" si="3"/>
        <v>0.02644942686</v>
      </c>
      <c r="E42" s="1">
        <f t="shared" si="4"/>
        <v>-0.02644942686</v>
      </c>
      <c r="F42" s="1">
        <f t="shared" si="5"/>
        <v>0.05289885371</v>
      </c>
      <c r="G42" s="1">
        <f t="shared" si="10"/>
        <v>0.2566362104</v>
      </c>
      <c r="K42" s="2">
        <v>4.0E-4</v>
      </c>
      <c r="L42" s="2">
        <f t="shared" si="6"/>
        <v>0.0000003199999488</v>
      </c>
      <c r="M42" s="2">
        <f t="shared" si="7"/>
        <v>0.0003708799406</v>
      </c>
      <c r="N42" s="2">
        <f t="shared" si="8"/>
        <v>0.001202861443</v>
      </c>
      <c r="O42" s="2"/>
      <c r="P42" s="2"/>
      <c r="Q42" s="2"/>
      <c r="R42" s="4"/>
    </row>
    <row r="43" ht="14.25" customHeight="1">
      <c r="A43" s="1">
        <v>49.0</v>
      </c>
      <c r="B43" s="1">
        <f t="shared" si="1"/>
        <v>0.8547777778</v>
      </c>
      <c r="C43" s="1">
        <f t="shared" si="2"/>
        <v>0.0391848382</v>
      </c>
      <c r="D43" s="1">
        <f t="shared" si="3"/>
        <v>0.0260579174</v>
      </c>
      <c r="E43" s="1">
        <f t="shared" si="4"/>
        <v>-0.0260579174</v>
      </c>
      <c r="F43" s="1">
        <f t="shared" si="5"/>
        <v>0.0521158348</v>
      </c>
      <c r="G43" s="1">
        <f t="shared" si="10"/>
        <v>0.2512329922</v>
      </c>
      <c r="K43" s="2">
        <v>4.1E-4</v>
      </c>
      <c r="L43" s="2">
        <f t="shared" si="6"/>
        <v>0.0000003361999434</v>
      </c>
      <c r="M43" s="2">
        <f t="shared" si="7"/>
        <v>0.0003896557344</v>
      </c>
      <c r="N43" s="2">
        <f t="shared" si="8"/>
        <v>0.0012329561</v>
      </c>
      <c r="O43" s="2"/>
      <c r="P43" s="2"/>
      <c r="Q43" s="2"/>
      <c r="R43" s="4"/>
    </row>
    <row r="44" ht="14.25" customHeight="1">
      <c r="A44" s="1">
        <v>48.0</v>
      </c>
      <c r="B44" s="1">
        <f t="shared" si="1"/>
        <v>0.8373333333</v>
      </c>
      <c r="C44" s="1">
        <f t="shared" si="2"/>
        <v>0.03858417819</v>
      </c>
      <c r="D44" s="1">
        <f t="shared" si="3"/>
        <v>0.0256584785</v>
      </c>
      <c r="E44" s="1">
        <f t="shared" si="4"/>
        <v>-0.0256584785</v>
      </c>
      <c r="F44" s="1">
        <f t="shared" si="5"/>
        <v>0.051316957</v>
      </c>
      <c r="G44" s="1">
        <f t="shared" si="10"/>
        <v>0.2457425225</v>
      </c>
      <c r="K44" s="2">
        <v>4.2E-4</v>
      </c>
      <c r="L44" s="2">
        <f t="shared" si="6"/>
        <v>0.0000003527999377</v>
      </c>
      <c r="M44" s="2">
        <f t="shared" si="7"/>
        <v>0.0004088951278</v>
      </c>
      <c r="N44" s="2">
        <f t="shared" si="8"/>
        <v>0.001263052469</v>
      </c>
      <c r="O44" s="2"/>
      <c r="P44" s="2"/>
      <c r="Q44" s="2"/>
      <c r="R44" s="4"/>
    </row>
    <row r="45" ht="14.25" customHeight="1">
      <c r="A45" s="1">
        <v>47.0</v>
      </c>
      <c r="B45" s="1">
        <f t="shared" si="1"/>
        <v>0.8198888889</v>
      </c>
      <c r="C45" s="1">
        <f t="shared" si="2"/>
        <v>0.03797177699</v>
      </c>
      <c r="D45" s="1">
        <f t="shared" si="3"/>
        <v>0.0252512317</v>
      </c>
      <c r="E45" s="1">
        <f t="shared" si="4"/>
        <v>-0.0252512317</v>
      </c>
      <c r="F45" s="1">
        <f t="shared" si="5"/>
        <v>0.05050246339</v>
      </c>
      <c r="G45" s="1">
        <f t="shared" si="10"/>
        <v>0.2401677961</v>
      </c>
      <c r="K45" s="2">
        <v>4.3E-4</v>
      </c>
      <c r="L45" s="2">
        <f t="shared" si="6"/>
        <v>0.0000003697999316</v>
      </c>
      <c r="M45" s="2">
        <f t="shared" si="7"/>
        <v>0.0004285981207</v>
      </c>
      <c r="N45" s="2">
        <f t="shared" si="8"/>
        <v>0.001293150593</v>
      </c>
      <c r="O45" s="2"/>
      <c r="P45" s="2"/>
      <c r="Q45" s="2"/>
      <c r="R45" s="4"/>
    </row>
    <row r="46" ht="14.25" customHeight="1">
      <c r="A46" s="1">
        <v>46.0</v>
      </c>
      <c r="B46" s="1">
        <f t="shared" si="1"/>
        <v>0.8024444444</v>
      </c>
      <c r="C46" s="1">
        <f t="shared" si="2"/>
        <v>0.03734782094</v>
      </c>
      <c r="D46" s="1">
        <f t="shared" si="3"/>
        <v>0.02483630092</v>
      </c>
      <c r="E46" s="1">
        <f t="shared" si="4"/>
        <v>-0.02483630092</v>
      </c>
      <c r="F46" s="1">
        <f t="shared" si="5"/>
        <v>0.04967260184</v>
      </c>
      <c r="G46" s="1">
        <f t="shared" si="10"/>
        <v>0.2345118382</v>
      </c>
      <c r="K46" s="2">
        <v>4.4E-4</v>
      </c>
      <c r="L46" s="2">
        <f t="shared" si="6"/>
        <v>0.000000387199925</v>
      </c>
      <c r="M46" s="2">
        <f t="shared" si="7"/>
        <v>0.0004487647131</v>
      </c>
      <c r="N46" s="2">
        <f t="shared" si="8"/>
        <v>0.001323250513</v>
      </c>
      <c r="O46" s="2"/>
      <c r="P46" s="2"/>
      <c r="Q46" s="2"/>
      <c r="R46" s="4"/>
    </row>
    <row r="47" ht="14.25" customHeight="1">
      <c r="A47" s="1">
        <v>45.0</v>
      </c>
      <c r="B47" s="1">
        <f t="shared" si="1"/>
        <v>0.785</v>
      </c>
      <c r="C47" s="1">
        <f t="shared" si="2"/>
        <v>0.03671249991</v>
      </c>
      <c r="D47" s="1">
        <f t="shared" si="3"/>
        <v>0.02441381244</v>
      </c>
      <c r="E47" s="1">
        <f t="shared" si="4"/>
        <v>-0.02441381244</v>
      </c>
      <c r="F47" s="1">
        <f t="shared" si="5"/>
        <v>0.04882762488</v>
      </c>
      <c r="G47" s="1">
        <f t="shared" si="10"/>
        <v>0.2287777019</v>
      </c>
      <c r="K47" s="2">
        <v>4.5E-4</v>
      </c>
      <c r="L47" s="2">
        <f t="shared" si="6"/>
        <v>0.000000404999918</v>
      </c>
      <c r="M47" s="2">
        <f t="shared" si="7"/>
        <v>0.000469394905</v>
      </c>
      <c r="N47" s="2">
        <f t="shared" si="8"/>
        <v>0.001353352271</v>
      </c>
      <c r="O47" s="2"/>
      <c r="P47" s="2"/>
      <c r="Q47" s="2"/>
      <c r="R47" s="4"/>
    </row>
    <row r="48" ht="14.25" customHeight="1">
      <c r="A48" s="1">
        <v>44.0</v>
      </c>
      <c r="B48" s="1">
        <f t="shared" si="1"/>
        <v>0.7675555556</v>
      </c>
      <c r="C48" s="1">
        <f t="shared" si="2"/>
        <v>0.03606600723</v>
      </c>
      <c r="D48" s="1">
        <f t="shared" si="3"/>
        <v>0.02398389481</v>
      </c>
      <c r="E48" s="1">
        <f t="shared" si="4"/>
        <v>-0.02398389481</v>
      </c>
      <c r="F48" s="1">
        <f t="shared" si="5"/>
        <v>0.04796778962</v>
      </c>
      <c r="G48" s="1">
        <f t="shared" si="10"/>
        <v>0.2229684657</v>
      </c>
      <c r="K48" s="2">
        <v>4.6E-4</v>
      </c>
      <c r="L48" s="2">
        <f t="shared" si="6"/>
        <v>0.0000004231999104</v>
      </c>
      <c r="M48" s="2">
        <f t="shared" si="7"/>
        <v>0.0004904886962</v>
      </c>
      <c r="N48" s="2">
        <f t="shared" si="8"/>
        <v>0.001383455909</v>
      </c>
      <c r="O48" s="2"/>
      <c r="P48" s="2"/>
      <c r="Q48" s="2"/>
      <c r="R48" s="4"/>
    </row>
    <row r="49" ht="14.25" customHeight="1">
      <c r="A49" s="1">
        <v>43.0</v>
      </c>
      <c r="B49" s="1">
        <f t="shared" si="1"/>
        <v>0.7501111111</v>
      </c>
      <c r="C49" s="1">
        <f t="shared" si="2"/>
        <v>0.03540853963</v>
      </c>
      <c r="D49" s="1">
        <f t="shared" si="3"/>
        <v>0.02354667886</v>
      </c>
      <c r="E49" s="1">
        <f t="shared" si="4"/>
        <v>-0.02354667886</v>
      </c>
      <c r="F49" s="1">
        <f t="shared" si="5"/>
        <v>0.04709335771</v>
      </c>
      <c r="G49" s="1">
        <f t="shared" si="10"/>
        <v>0.2170872309</v>
      </c>
      <c r="K49" s="2">
        <v>4.7E-4</v>
      </c>
      <c r="L49" s="2">
        <f t="shared" si="6"/>
        <v>0.0000004417999024</v>
      </c>
      <c r="M49" s="2">
        <f t="shared" si="7"/>
        <v>0.0005120460869</v>
      </c>
      <c r="N49" s="2">
        <f t="shared" si="8"/>
        <v>0.001413561468</v>
      </c>
      <c r="O49" s="2"/>
      <c r="P49" s="2"/>
      <c r="Q49" s="2"/>
      <c r="R49" s="4"/>
    </row>
    <row r="50" ht="14.25" customHeight="1">
      <c r="A50" s="1">
        <v>42.0</v>
      </c>
      <c r="B50" s="1">
        <f t="shared" si="1"/>
        <v>0.7326666667</v>
      </c>
      <c r="C50" s="1">
        <f t="shared" si="2"/>
        <v>0.03474029719</v>
      </c>
      <c r="D50" s="1">
        <f t="shared" si="3"/>
        <v>0.02310229763</v>
      </c>
      <c r="E50" s="1">
        <f t="shared" si="4"/>
        <v>-0.02310229763</v>
      </c>
      <c r="F50" s="1">
        <f t="shared" si="5"/>
        <v>0.04620459526</v>
      </c>
      <c r="G50" s="1">
        <f t="shared" si="10"/>
        <v>0.211137119</v>
      </c>
      <c r="K50" s="2">
        <v>4.8E-4</v>
      </c>
      <c r="L50" s="2">
        <f t="shared" si="6"/>
        <v>0.0000004607998938</v>
      </c>
      <c r="M50" s="2">
        <f t="shared" si="7"/>
        <v>0.0005340670769</v>
      </c>
      <c r="N50" s="2">
        <f t="shared" si="8"/>
        <v>0.001443668991</v>
      </c>
      <c r="O50" s="2"/>
      <c r="P50" s="2"/>
      <c r="Q50" s="2"/>
      <c r="R50" s="4"/>
    </row>
    <row r="51" ht="14.25" customHeight="1">
      <c r="A51" s="1">
        <v>41.0</v>
      </c>
      <c r="B51" s="1">
        <f t="shared" si="1"/>
        <v>0.7152222222</v>
      </c>
      <c r="C51" s="1">
        <f t="shared" si="2"/>
        <v>0.03406148324</v>
      </c>
      <c r="D51" s="1">
        <f t="shared" si="3"/>
        <v>0.02265088635</v>
      </c>
      <c r="E51" s="1">
        <f t="shared" si="4"/>
        <v>-0.02265088635</v>
      </c>
      <c r="F51" s="1">
        <f t="shared" si="5"/>
        <v>0.0453017727</v>
      </c>
      <c r="G51" s="1">
        <f t="shared" si="10"/>
        <v>0.2051212693</v>
      </c>
      <c r="K51" s="2">
        <v>4.9E-4</v>
      </c>
      <c r="L51" s="2">
        <f t="shared" si="6"/>
        <v>0.0000004801998847</v>
      </c>
      <c r="M51" s="2">
        <f t="shared" si="7"/>
        <v>0.0005565516664</v>
      </c>
      <c r="N51" s="2">
        <f t="shared" si="8"/>
        <v>0.001473778518</v>
      </c>
      <c r="O51" s="2"/>
      <c r="P51" s="2"/>
      <c r="Q51" s="2"/>
      <c r="R51" s="4"/>
    </row>
    <row r="52" ht="14.25" customHeight="1">
      <c r="A52" s="1">
        <v>40.0</v>
      </c>
      <c r="B52" s="1">
        <f t="shared" si="1"/>
        <v>0.6977777778</v>
      </c>
      <c r="C52" s="1">
        <f t="shared" si="2"/>
        <v>0.03337230434</v>
      </c>
      <c r="D52" s="1">
        <f t="shared" si="3"/>
        <v>0.02219258239</v>
      </c>
      <c r="E52" s="1">
        <f t="shared" si="4"/>
        <v>-0.02219258239</v>
      </c>
      <c r="F52" s="1">
        <f t="shared" si="5"/>
        <v>0.04438516478</v>
      </c>
      <c r="G52" s="1">
        <f t="shared" si="10"/>
        <v>0.1990428362</v>
      </c>
      <c r="K52" s="2">
        <v>5.0E-4</v>
      </c>
      <c r="L52" s="2">
        <f t="shared" si="6"/>
        <v>0.0000004999998751</v>
      </c>
      <c r="M52" s="2">
        <f t="shared" si="7"/>
        <v>0.0005794998552</v>
      </c>
      <c r="N52" s="2">
        <f t="shared" si="8"/>
        <v>0.001503890093</v>
      </c>
      <c r="O52" s="2"/>
      <c r="P52" s="2"/>
      <c r="Q52" s="2"/>
      <c r="R52" s="4"/>
    </row>
    <row r="53" ht="14.25" customHeight="1">
      <c r="A53" s="1">
        <v>39.0</v>
      </c>
      <c r="B53" s="1">
        <f t="shared" si="1"/>
        <v>0.6803333333</v>
      </c>
      <c r="C53" s="1">
        <f t="shared" si="2"/>
        <v>0.03267297023</v>
      </c>
      <c r="D53" s="1">
        <f t="shared" si="3"/>
        <v>0.0217275252</v>
      </c>
      <c r="E53" s="1">
        <f t="shared" si="4"/>
        <v>-0.0217275252</v>
      </c>
      <c r="F53" s="1">
        <f t="shared" si="5"/>
        <v>0.0434550504</v>
      </c>
      <c r="G53" s="1">
        <f t="shared" si="10"/>
        <v>0.1929049864</v>
      </c>
      <c r="K53" s="2">
        <v>5.1E-4</v>
      </c>
      <c r="L53" s="2">
        <f t="shared" si="6"/>
        <v>0.0000005201998647</v>
      </c>
      <c r="M53" s="2">
        <f t="shared" si="7"/>
        <v>0.0006029116432</v>
      </c>
      <c r="N53" s="2">
        <f t="shared" si="8"/>
        <v>0.001534003756</v>
      </c>
      <c r="O53" s="2"/>
      <c r="P53" s="2"/>
      <c r="Q53" s="2"/>
      <c r="R53" s="4"/>
    </row>
    <row r="54" ht="14.25" customHeight="1">
      <c r="A54" s="1">
        <v>38.0</v>
      </c>
      <c r="B54" s="1">
        <f t="shared" si="1"/>
        <v>0.6628888889</v>
      </c>
      <c r="C54" s="1">
        <f t="shared" si="2"/>
        <v>0.0319636937</v>
      </c>
      <c r="D54" s="1">
        <f t="shared" si="3"/>
        <v>0.02125585631</v>
      </c>
      <c r="E54" s="1">
        <f t="shared" si="4"/>
        <v>-0.02125585631</v>
      </c>
      <c r="F54" s="1">
        <f t="shared" si="5"/>
        <v>0.04251171262</v>
      </c>
      <c r="G54" s="1">
        <f t="shared" si="10"/>
        <v>0.1867108969</v>
      </c>
      <c r="K54" s="2">
        <v>5.2E-4</v>
      </c>
      <c r="L54" s="2">
        <f t="shared" si="6"/>
        <v>0.0000005407998538</v>
      </c>
      <c r="M54" s="2">
        <f t="shared" si="7"/>
        <v>0.0006267870305</v>
      </c>
      <c r="N54" s="2">
        <f t="shared" si="8"/>
        <v>0.001564119549</v>
      </c>
      <c r="O54" s="2"/>
      <c r="P54" s="2"/>
      <c r="Q54" s="2"/>
      <c r="R54" s="4"/>
    </row>
    <row r="55" ht="14.25" customHeight="1">
      <c r="A55" s="1">
        <v>37.0</v>
      </c>
      <c r="B55" s="1">
        <f t="shared" si="1"/>
        <v>0.6454444444</v>
      </c>
      <c r="C55" s="1">
        <f t="shared" si="2"/>
        <v>0.03124469059</v>
      </c>
      <c r="D55" s="1">
        <f t="shared" si="3"/>
        <v>0.02077771924</v>
      </c>
      <c r="E55" s="1">
        <f t="shared" si="4"/>
        <v>-0.02077771924</v>
      </c>
      <c r="F55" s="1">
        <f t="shared" si="5"/>
        <v>0.04155543848</v>
      </c>
      <c r="G55" s="1">
        <f t="shared" si="10"/>
        <v>0.1804637518</v>
      </c>
      <c r="K55" s="2">
        <v>5.3E-4</v>
      </c>
      <c r="L55" s="2">
        <f t="shared" si="6"/>
        <v>0.0000005617998422</v>
      </c>
      <c r="M55" s="2">
        <f t="shared" si="7"/>
        <v>0.0006511260171</v>
      </c>
      <c r="N55" s="2">
        <f t="shared" si="8"/>
        <v>0.001594237514</v>
      </c>
      <c r="O55" s="2"/>
      <c r="P55" s="2"/>
      <c r="Q55" s="2"/>
      <c r="R55" s="4"/>
    </row>
    <row r="56" ht="14.25" customHeight="1">
      <c r="A56" s="1">
        <v>36.0</v>
      </c>
      <c r="B56" s="1">
        <f t="shared" si="1"/>
        <v>0.628</v>
      </c>
      <c r="C56" s="1">
        <f t="shared" si="2"/>
        <v>0.03051617969</v>
      </c>
      <c r="D56" s="1">
        <f t="shared" si="3"/>
        <v>0.02029325949</v>
      </c>
      <c r="E56" s="1">
        <f t="shared" si="4"/>
        <v>-0.02029325949</v>
      </c>
      <c r="F56" s="1">
        <f t="shared" si="5"/>
        <v>0.04058651898</v>
      </c>
      <c r="G56" s="1">
        <f t="shared" si="10"/>
        <v>0.1741667403</v>
      </c>
      <c r="K56" s="2">
        <v>5.4E-4</v>
      </c>
      <c r="L56" s="2">
        <f t="shared" si="6"/>
        <v>0.00000058319983</v>
      </c>
      <c r="M56" s="2">
        <f t="shared" si="7"/>
        <v>0.000675928603</v>
      </c>
      <c r="N56" s="2">
        <f t="shared" si="8"/>
        <v>0.001624357694</v>
      </c>
      <c r="O56" s="2"/>
      <c r="P56" s="2"/>
      <c r="Q56" s="2"/>
      <c r="R56" s="4"/>
    </row>
    <row r="57" ht="14.25" customHeight="1">
      <c r="A57" s="1">
        <v>35.0</v>
      </c>
      <c r="B57" s="1">
        <f t="shared" si="1"/>
        <v>0.6105555556</v>
      </c>
      <c r="C57" s="1">
        <f t="shared" si="2"/>
        <v>0.02977838268</v>
      </c>
      <c r="D57" s="1">
        <f t="shared" si="3"/>
        <v>0.01980262448</v>
      </c>
      <c r="E57" s="1">
        <f t="shared" si="4"/>
        <v>-0.01980262448</v>
      </c>
      <c r="F57" s="1">
        <f t="shared" si="5"/>
        <v>0.03960524897</v>
      </c>
      <c r="G57" s="1">
        <f t="shared" si="10"/>
        <v>0.1678230539</v>
      </c>
      <c r="K57" s="2">
        <v>5.5E-4</v>
      </c>
      <c r="L57" s="2">
        <f t="shared" si="6"/>
        <v>0.0000006049998169</v>
      </c>
      <c r="M57" s="2">
        <f t="shared" si="7"/>
        <v>0.0007011947878</v>
      </c>
      <c r="N57" s="2">
        <f t="shared" si="8"/>
        <v>0.001654480129</v>
      </c>
      <c r="O57" s="2"/>
      <c r="P57" s="2"/>
      <c r="Q57" s="2"/>
      <c r="R57" s="4"/>
    </row>
    <row r="58" ht="14.25" customHeight="1">
      <c r="A58" s="1">
        <v>34.0</v>
      </c>
      <c r="B58" s="1">
        <f t="shared" si="1"/>
        <v>0.5931111111</v>
      </c>
      <c r="C58" s="1">
        <f t="shared" si="2"/>
        <v>0.02903152409</v>
      </c>
      <c r="D58" s="1">
        <f t="shared" si="3"/>
        <v>0.01930596352</v>
      </c>
      <c r="E58" s="1">
        <f t="shared" si="4"/>
        <v>-0.01930596352</v>
      </c>
      <c r="F58" s="1">
        <f t="shared" si="5"/>
        <v>0.03861192704</v>
      </c>
      <c r="G58" s="1">
        <f t="shared" si="10"/>
        <v>0.1614358836</v>
      </c>
      <c r="K58" s="2">
        <v>5.6E-4</v>
      </c>
      <c r="L58" s="2">
        <f t="shared" si="6"/>
        <v>0.0000006271998034</v>
      </c>
      <c r="M58" s="2">
        <f t="shared" si="7"/>
        <v>0.0007269245722</v>
      </c>
      <c r="N58" s="2">
        <f t="shared" si="8"/>
        <v>0.001684604861</v>
      </c>
      <c r="O58" s="2"/>
      <c r="P58" s="2"/>
      <c r="Q58" s="2"/>
      <c r="R58" s="4"/>
    </row>
    <row r="59" ht="14.25" customHeight="1">
      <c r="A59" s="1">
        <v>33.0</v>
      </c>
      <c r="B59" s="1">
        <f t="shared" si="1"/>
        <v>0.5756666667</v>
      </c>
      <c r="C59" s="1">
        <f t="shared" si="2"/>
        <v>0.02827583118</v>
      </c>
      <c r="D59" s="1">
        <f t="shared" si="3"/>
        <v>0.01880342774</v>
      </c>
      <c r="E59" s="1">
        <f t="shared" si="4"/>
        <v>-0.01880342774</v>
      </c>
      <c r="F59" s="1">
        <f t="shared" si="5"/>
        <v>0.03760685547</v>
      </c>
      <c r="G59" s="1">
        <f t="shared" si="10"/>
        <v>0.1550084182</v>
      </c>
      <c r="K59" s="2">
        <v>5.7E-4</v>
      </c>
      <c r="L59" s="2">
        <f t="shared" si="6"/>
        <v>0.0000006497997889</v>
      </c>
      <c r="M59" s="2">
        <f t="shared" si="7"/>
        <v>0.0007531179553</v>
      </c>
      <c r="N59" s="2">
        <f t="shared" si="8"/>
        <v>0.001714731933</v>
      </c>
      <c r="O59" s="2"/>
      <c r="P59" s="2"/>
      <c r="Q59" s="2"/>
      <c r="R59" s="4"/>
    </row>
    <row r="60" ht="14.25" customHeight="1">
      <c r="A60" s="1">
        <v>32.0</v>
      </c>
      <c r="B60" s="1">
        <f t="shared" si="1"/>
        <v>0.5582222222</v>
      </c>
      <c r="C60" s="1">
        <f t="shared" si="2"/>
        <v>0.02751153391</v>
      </c>
      <c r="D60" s="1">
        <f t="shared" si="3"/>
        <v>0.01829517005</v>
      </c>
      <c r="E60" s="1">
        <f t="shared" si="4"/>
        <v>-0.01829517005</v>
      </c>
      <c r="F60" s="1">
        <f t="shared" si="5"/>
        <v>0.0365903401</v>
      </c>
      <c r="G60" s="1">
        <f t="shared" si="10"/>
        <v>0.1485438407</v>
      </c>
      <c r="K60" s="2">
        <v>5.8E-4</v>
      </c>
      <c r="L60" s="2">
        <f t="shared" si="6"/>
        <v>0.0000006727997737</v>
      </c>
      <c r="M60" s="2">
        <f t="shared" si="7"/>
        <v>0.0007797749377</v>
      </c>
      <c r="N60" s="2">
        <f t="shared" si="8"/>
        <v>0.001744861386</v>
      </c>
      <c r="O60" s="2"/>
      <c r="P60" s="2"/>
      <c r="Q60" s="2"/>
      <c r="R60" s="4"/>
    </row>
    <row r="61" ht="14.25" customHeight="1">
      <c r="A61" s="1">
        <v>31.0</v>
      </c>
      <c r="B61" s="1">
        <f t="shared" si="1"/>
        <v>0.5407777778</v>
      </c>
      <c r="C61" s="1">
        <f t="shared" si="2"/>
        <v>0.02673886485</v>
      </c>
      <c r="D61" s="1">
        <f t="shared" si="3"/>
        <v>0.01778134513</v>
      </c>
      <c r="E61" s="1">
        <f t="shared" si="4"/>
        <v>-0.01778134513</v>
      </c>
      <c r="F61" s="1">
        <f t="shared" si="5"/>
        <v>0.03556269025</v>
      </c>
      <c r="G61" s="1">
        <f t="shared" si="10"/>
        <v>0.142045327</v>
      </c>
      <c r="K61" s="2">
        <v>5.9E-4</v>
      </c>
      <c r="L61" s="2">
        <f t="shared" si="6"/>
        <v>0.0000006961997576</v>
      </c>
      <c r="M61" s="2">
        <f t="shared" si="7"/>
        <v>0.0008068955191</v>
      </c>
      <c r="N61" s="2">
        <f t="shared" si="8"/>
        <v>0.001774993261</v>
      </c>
      <c r="O61" s="2"/>
      <c r="P61" s="2"/>
      <c r="Q61" s="2"/>
      <c r="R61" s="4"/>
    </row>
    <row r="62" ht="14.25" customHeight="1">
      <c r="A62" s="1">
        <v>30.0</v>
      </c>
      <c r="B62" s="1">
        <f t="shared" si="1"/>
        <v>0.5233333333</v>
      </c>
      <c r="C62" s="1">
        <f t="shared" si="2"/>
        <v>0.02595805913</v>
      </c>
      <c r="D62" s="1">
        <f t="shared" si="3"/>
        <v>0.01726210932</v>
      </c>
      <c r="E62" s="1">
        <f t="shared" si="4"/>
        <v>-0.01726210932</v>
      </c>
      <c r="F62" s="1">
        <f t="shared" si="5"/>
        <v>0.03452421864</v>
      </c>
      <c r="G62" s="1">
        <f t="shared" si="10"/>
        <v>0.1355160426</v>
      </c>
      <c r="K62" s="2">
        <v>6.0E-4</v>
      </c>
      <c r="L62" s="2">
        <f t="shared" si="6"/>
        <v>0.0000007199997407</v>
      </c>
      <c r="M62" s="2">
        <f t="shared" si="7"/>
        <v>0.0008344796995</v>
      </c>
      <c r="N62" s="2">
        <f t="shared" si="8"/>
        <v>0.001805127601</v>
      </c>
      <c r="O62" s="2"/>
      <c r="P62" s="2"/>
      <c r="Q62" s="2"/>
      <c r="R62" s="4"/>
    </row>
    <row r="63" ht="14.25" customHeight="1">
      <c r="A63" s="1">
        <v>29.0</v>
      </c>
      <c r="B63" s="1">
        <f t="shared" si="1"/>
        <v>0.5058888889</v>
      </c>
      <c r="C63" s="1">
        <f t="shared" si="2"/>
        <v>0.02516935435</v>
      </c>
      <c r="D63" s="1">
        <f t="shared" si="3"/>
        <v>0.01673762064</v>
      </c>
      <c r="E63" s="1">
        <f t="shared" si="4"/>
        <v>-0.01673762064</v>
      </c>
      <c r="F63" s="1">
        <f t="shared" si="5"/>
        <v>0.03347524129</v>
      </c>
      <c r="G63" s="1">
        <f t="shared" si="10"/>
        <v>0.1289591405</v>
      </c>
      <c r="K63" s="2">
        <v>6.1E-4</v>
      </c>
      <c r="L63" s="2">
        <f t="shared" si="6"/>
        <v>0.000000744199723</v>
      </c>
      <c r="M63" s="2">
        <f t="shared" si="7"/>
        <v>0.0008625274789</v>
      </c>
      <c r="N63" s="2">
        <f t="shared" si="8"/>
        <v>0.001835264448</v>
      </c>
      <c r="O63" s="2"/>
      <c r="P63" s="2"/>
      <c r="Q63" s="2"/>
      <c r="R63" s="4"/>
    </row>
    <row r="64" ht="14.25" customHeight="1">
      <c r="A64" s="1">
        <v>28.0</v>
      </c>
      <c r="B64" s="1">
        <f t="shared" si="1"/>
        <v>0.4884444444</v>
      </c>
      <c r="C64" s="1">
        <f t="shared" si="2"/>
        <v>0.02437299051</v>
      </c>
      <c r="D64" s="1">
        <f t="shared" si="3"/>
        <v>0.01620803869</v>
      </c>
      <c r="E64" s="1">
        <f t="shared" si="4"/>
        <v>-0.01620803869</v>
      </c>
      <c r="F64" s="1">
        <f t="shared" si="5"/>
        <v>0.03241607738</v>
      </c>
      <c r="G64" s="1">
        <f t="shared" si="10"/>
        <v>0.122377759</v>
      </c>
      <c r="K64" s="2">
        <v>6.2E-4</v>
      </c>
      <c r="L64" s="2">
        <f t="shared" si="6"/>
        <v>0.0000007687997046</v>
      </c>
      <c r="M64" s="2">
        <f t="shared" si="7"/>
        <v>0.0008910388576</v>
      </c>
      <c r="N64" s="2">
        <f t="shared" si="8"/>
        <v>0.001865403842</v>
      </c>
      <c r="O64" s="2"/>
      <c r="P64" s="2"/>
      <c r="Q64" s="2"/>
      <c r="R64" s="4"/>
    </row>
    <row r="65" ht="14.25" customHeight="1">
      <c r="A65" s="1">
        <v>27.0</v>
      </c>
      <c r="B65" s="1">
        <f t="shared" si="1"/>
        <v>0.471</v>
      </c>
      <c r="C65" s="1">
        <f t="shared" si="2"/>
        <v>0.02356920995</v>
      </c>
      <c r="D65" s="1">
        <f t="shared" si="3"/>
        <v>0.01567352462</v>
      </c>
      <c r="E65" s="1">
        <f t="shared" si="4"/>
        <v>-0.01567352462</v>
      </c>
      <c r="F65" s="1">
        <f t="shared" si="5"/>
        <v>0.03134704923</v>
      </c>
      <c r="G65" s="1">
        <f t="shared" si="10"/>
        <v>0.1157750189</v>
      </c>
      <c r="K65" s="2">
        <v>6.3E-4</v>
      </c>
      <c r="L65" s="2">
        <f t="shared" si="6"/>
        <v>0.0000007937996849</v>
      </c>
      <c r="M65" s="2">
        <f t="shared" si="7"/>
        <v>0.0009200138348</v>
      </c>
      <c r="N65" s="2">
        <f t="shared" si="8"/>
        <v>0.001895545826</v>
      </c>
      <c r="O65" s="2"/>
      <c r="P65" s="2"/>
      <c r="Q65" s="2"/>
      <c r="R65" s="4"/>
    </row>
    <row r="66" ht="14.25" customHeight="1">
      <c r="A66" s="1">
        <v>26.0</v>
      </c>
      <c r="B66" s="1">
        <f t="shared" si="1"/>
        <v>0.4535555556</v>
      </c>
      <c r="C66" s="1">
        <f t="shared" si="2"/>
        <v>0.02275825726</v>
      </c>
      <c r="D66" s="1">
        <f t="shared" si="3"/>
        <v>0.01513424108</v>
      </c>
      <c r="E66" s="1">
        <f t="shared" si="4"/>
        <v>-0.01513424108</v>
      </c>
      <c r="F66" s="1">
        <f t="shared" si="5"/>
        <v>0.03026848215</v>
      </c>
      <c r="G66" s="1">
        <f t="shared" si="10"/>
        <v>0.1091540217</v>
      </c>
      <c r="K66" s="2">
        <v>6.4E-4</v>
      </c>
      <c r="L66" s="2">
        <f t="shared" si="6"/>
        <v>0.0000008191996643</v>
      </c>
      <c r="M66" s="2">
        <f t="shared" si="7"/>
        <v>0.000949452411</v>
      </c>
      <c r="N66" s="2">
        <f t="shared" si="8"/>
        <v>0.001925690442</v>
      </c>
      <c r="O66" s="2"/>
      <c r="P66" s="2"/>
      <c r="Q66" s="2"/>
      <c r="R66" s="4"/>
    </row>
    <row r="67" ht="14.25" customHeight="1">
      <c r="A67" s="1">
        <v>25.0</v>
      </c>
      <c r="B67" s="1">
        <f t="shared" si="1"/>
        <v>0.4361111111</v>
      </c>
      <c r="C67" s="1">
        <f t="shared" si="2"/>
        <v>0.0219403792</v>
      </c>
      <c r="D67" s="1">
        <f t="shared" si="3"/>
        <v>0.01459035217</v>
      </c>
      <c r="E67" s="1">
        <f t="shared" si="4"/>
        <v>-0.01459035217</v>
      </c>
      <c r="F67" s="1">
        <f t="shared" si="5"/>
        <v>0.02918070434</v>
      </c>
      <c r="G67" s="1">
        <f t="shared" si="10"/>
        <v>0.102517847</v>
      </c>
      <c r="K67" s="2">
        <v>6.5E-4</v>
      </c>
      <c r="L67" s="2">
        <f t="shared" si="6"/>
        <v>0.0000008449996429</v>
      </c>
      <c r="M67" s="2">
        <f t="shared" si="7"/>
        <v>0.0009793545861</v>
      </c>
      <c r="N67" s="2">
        <f t="shared" si="8"/>
        <v>0.001955837732</v>
      </c>
      <c r="O67" s="2"/>
      <c r="P67" s="2"/>
      <c r="Q67" s="2"/>
      <c r="R67" s="4"/>
    </row>
    <row r="68" ht="14.25" customHeight="1">
      <c r="A68" s="1">
        <v>24.0</v>
      </c>
      <c r="B68" s="1">
        <f t="shared" si="1"/>
        <v>0.4186666667</v>
      </c>
      <c r="C68" s="1">
        <f t="shared" si="2"/>
        <v>0.02111582467</v>
      </c>
      <c r="D68" s="1">
        <f t="shared" si="3"/>
        <v>0.01404202341</v>
      </c>
      <c r="E68" s="1">
        <f t="shared" si="4"/>
        <v>-0.01404202341</v>
      </c>
      <c r="F68" s="1">
        <f t="shared" si="5"/>
        <v>0.02808404681</v>
      </c>
      <c r="G68" s="1">
        <f t="shared" si="10"/>
        <v>0.09586955025</v>
      </c>
      <c r="K68" s="2">
        <v>6.6E-4</v>
      </c>
      <c r="L68" s="2">
        <f t="shared" si="6"/>
        <v>0.0000008711996204</v>
      </c>
      <c r="M68" s="2">
        <f t="shared" si="7"/>
        <v>0.00100972036</v>
      </c>
      <c r="N68" s="2">
        <f t="shared" si="8"/>
        <v>0.001985987736</v>
      </c>
      <c r="O68" s="2"/>
      <c r="P68" s="2"/>
      <c r="Q68" s="2"/>
      <c r="R68" s="4"/>
    </row>
    <row r="69" ht="14.25" customHeight="1">
      <c r="A69" s="1">
        <v>23.0</v>
      </c>
      <c r="B69" s="1">
        <f t="shared" si="1"/>
        <v>0.4012222222</v>
      </c>
      <c r="C69" s="1">
        <f t="shared" si="2"/>
        <v>0.02028484458</v>
      </c>
      <c r="D69" s="1">
        <f t="shared" si="3"/>
        <v>0.01348942164</v>
      </c>
      <c r="E69" s="1">
        <f t="shared" si="4"/>
        <v>-0.01348942164</v>
      </c>
      <c r="F69" s="1">
        <f t="shared" si="5"/>
        <v>0.02697884329</v>
      </c>
      <c r="G69" s="1">
        <f t="shared" si="10"/>
        <v>0.08921216087</v>
      </c>
      <c r="K69" s="2">
        <v>6.7E-4</v>
      </c>
      <c r="L69" s="2">
        <f t="shared" si="6"/>
        <v>0.0000008977995969</v>
      </c>
      <c r="M69" s="2">
        <f t="shared" si="7"/>
        <v>0.001040549733</v>
      </c>
      <c r="N69" s="2">
        <f t="shared" si="8"/>
        <v>0.002016140497</v>
      </c>
      <c r="O69" s="2"/>
      <c r="P69" s="2"/>
      <c r="Q69" s="2"/>
      <c r="R69" s="4"/>
    </row>
    <row r="70" ht="14.25" customHeight="1">
      <c r="A70" s="1">
        <v>22.0</v>
      </c>
      <c r="B70" s="1">
        <f t="shared" si="1"/>
        <v>0.3837777778</v>
      </c>
      <c r="C70" s="1">
        <f t="shared" si="2"/>
        <v>0.01944769178</v>
      </c>
      <c r="D70" s="1">
        <f t="shared" si="3"/>
        <v>0.01293271504</v>
      </c>
      <c r="E70" s="1">
        <f t="shared" si="4"/>
        <v>-0.01293271504</v>
      </c>
      <c r="F70" s="1">
        <f t="shared" si="5"/>
        <v>0.02586543007</v>
      </c>
      <c r="G70" s="1">
        <f t="shared" si="10"/>
        <v>0.08254867976</v>
      </c>
      <c r="K70" s="2">
        <v>6.8E-4</v>
      </c>
      <c r="L70" s="2">
        <f t="shared" si="6"/>
        <v>0.0000009247995725</v>
      </c>
      <c r="M70" s="2">
        <f t="shared" si="7"/>
        <v>0.001071842705</v>
      </c>
      <c r="N70" s="2">
        <f t="shared" si="8"/>
        <v>0.002046296058</v>
      </c>
      <c r="O70" s="2"/>
      <c r="P70" s="2"/>
      <c r="Q70" s="2"/>
      <c r="R70" s="4"/>
    </row>
    <row r="71" ht="14.25" customHeight="1">
      <c r="A71" s="1">
        <v>21.0</v>
      </c>
      <c r="B71" s="1">
        <f t="shared" si="1"/>
        <v>0.3663333333</v>
      </c>
      <c r="C71" s="1">
        <f t="shared" si="2"/>
        <v>0.01860462104</v>
      </c>
      <c r="D71" s="1">
        <f t="shared" si="3"/>
        <v>0.01237207299</v>
      </c>
      <c r="E71" s="1">
        <f t="shared" si="4"/>
        <v>-0.01237207299</v>
      </c>
      <c r="F71" s="1">
        <f t="shared" si="5"/>
        <v>0.02474414598</v>
      </c>
      <c r="G71" s="1">
        <f t="shared" si="10"/>
        <v>0.07588207736</v>
      </c>
      <c r="K71" s="2">
        <v>6.9E-4</v>
      </c>
      <c r="L71" s="2">
        <f t="shared" si="6"/>
        <v>0.0000009521995465</v>
      </c>
      <c r="M71" s="2">
        <f t="shared" si="7"/>
        <v>0.001103599274</v>
      </c>
      <c r="N71" s="2">
        <f t="shared" si="8"/>
        <v>0.002076454458</v>
      </c>
      <c r="O71" s="2"/>
      <c r="P71" s="2"/>
      <c r="Q71" s="2"/>
      <c r="R71" s="4"/>
    </row>
    <row r="72" ht="14.25" customHeight="1">
      <c r="A72" s="1">
        <v>20.0</v>
      </c>
      <c r="B72" s="1">
        <f t="shared" si="1"/>
        <v>0.3488888889</v>
      </c>
      <c r="C72" s="1">
        <f t="shared" si="2"/>
        <v>0.01775588889</v>
      </c>
      <c r="D72" s="1">
        <f t="shared" si="3"/>
        <v>0.01180766611</v>
      </c>
      <c r="E72" s="1">
        <f t="shared" si="4"/>
        <v>-0.01180766611</v>
      </c>
      <c r="F72" s="1">
        <f t="shared" si="5"/>
        <v>0.02361533223</v>
      </c>
      <c r="G72" s="1">
        <f t="shared" si="10"/>
        <v>0.06921529158</v>
      </c>
      <c r="K72" s="2">
        <v>7.0E-4</v>
      </c>
      <c r="L72" s="2">
        <f t="shared" si="6"/>
        <v>0.0000009799995198</v>
      </c>
      <c r="M72" s="2">
        <f t="shared" si="7"/>
        <v>0.001135819443</v>
      </c>
      <c r="N72" s="2">
        <f t="shared" si="8"/>
        <v>0.002106615741</v>
      </c>
      <c r="O72" s="2"/>
      <c r="P72" s="2"/>
      <c r="Q72" s="2"/>
      <c r="R72" s="4"/>
    </row>
    <row r="73" ht="14.25" customHeight="1">
      <c r="A73" s="1">
        <v>19.0</v>
      </c>
      <c r="B73" s="1">
        <f t="shared" si="1"/>
        <v>0.3314444444</v>
      </c>
      <c r="C73" s="1">
        <f t="shared" si="2"/>
        <v>0.01690175361</v>
      </c>
      <c r="D73" s="1">
        <f t="shared" si="3"/>
        <v>0.01123966615</v>
      </c>
      <c r="E73" s="1">
        <f t="shared" si="4"/>
        <v>-0.01123966615</v>
      </c>
      <c r="F73" s="1">
        <f t="shared" si="5"/>
        <v>0.02247933231</v>
      </c>
      <c r="K73" s="2">
        <v>7.1E-4</v>
      </c>
      <c r="L73" s="2">
        <f t="shared" si="6"/>
        <v>0.000001008199492</v>
      </c>
      <c r="M73" s="2">
        <f t="shared" si="7"/>
        <v>0.001168503211</v>
      </c>
      <c r="N73" s="2">
        <f t="shared" si="8"/>
        <v>0.002136779948</v>
      </c>
      <c r="O73" s="2"/>
      <c r="P73" s="2"/>
      <c r="Q73" s="2"/>
      <c r="R73" s="4"/>
    </row>
    <row r="74" ht="14.25" customHeight="1">
      <c r="A74" s="1">
        <v>18.0</v>
      </c>
      <c r="B74" s="1">
        <f t="shared" si="1"/>
        <v>0.314</v>
      </c>
      <c r="C74" s="1">
        <f t="shared" si="2"/>
        <v>0.01604247511</v>
      </c>
      <c r="D74" s="1">
        <f t="shared" si="3"/>
        <v>0.01066824595</v>
      </c>
      <c r="E74" s="1">
        <f t="shared" si="4"/>
        <v>-0.01066824595</v>
      </c>
      <c r="F74" s="1">
        <f t="shared" si="5"/>
        <v>0.0213364919</v>
      </c>
      <c r="K74" s="2">
        <v>7.2E-4</v>
      </c>
      <c r="L74" s="2">
        <f t="shared" si="6"/>
        <v>0.000001036799463</v>
      </c>
      <c r="M74" s="2">
        <f t="shared" si="7"/>
        <v>0.001201650577</v>
      </c>
      <c r="N74" s="2">
        <f t="shared" si="8"/>
        <v>0.00216694712</v>
      </c>
      <c r="O74" s="2"/>
      <c r="P74" s="2"/>
      <c r="Q74" s="2"/>
      <c r="R74" s="4"/>
    </row>
    <row r="75" ht="14.25" customHeight="1">
      <c r="A75" s="1">
        <v>17.0</v>
      </c>
      <c r="B75" s="1">
        <f t="shared" si="1"/>
        <v>0.2965555556</v>
      </c>
      <c r="C75" s="1">
        <f t="shared" si="2"/>
        <v>0.01517831487</v>
      </c>
      <c r="D75" s="1">
        <f t="shared" si="3"/>
        <v>0.01009357939</v>
      </c>
      <c r="E75" s="1">
        <f t="shared" si="4"/>
        <v>-0.01009357939</v>
      </c>
      <c r="F75" s="1">
        <f t="shared" si="5"/>
        <v>0.02018715878</v>
      </c>
      <c r="K75" s="2">
        <v>7.3E-4</v>
      </c>
      <c r="L75" s="2">
        <f t="shared" si="6"/>
        <v>0.000001065799432</v>
      </c>
      <c r="M75" s="2">
        <f t="shared" si="7"/>
        <v>0.001235261542</v>
      </c>
      <c r="N75" s="2">
        <f t="shared" si="8"/>
        <v>0.002197117301</v>
      </c>
      <c r="O75" s="2"/>
      <c r="P75" s="2"/>
      <c r="Q75" s="2"/>
      <c r="R75" s="4"/>
    </row>
    <row r="76" ht="14.25" customHeight="1">
      <c r="A76" s="1">
        <v>16.0</v>
      </c>
      <c r="B76" s="1">
        <f t="shared" si="1"/>
        <v>0.2791111111</v>
      </c>
      <c r="C76" s="1">
        <f t="shared" si="2"/>
        <v>0.01430953586</v>
      </c>
      <c r="D76" s="1">
        <f t="shared" si="3"/>
        <v>0.009515841347</v>
      </c>
      <c r="E76" s="1">
        <f t="shared" si="4"/>
        <v>-0.009515841347</v>
      </c>
      <c r="F76" s="1">
        <f t="shared" si="5"/>
        <v>0.01903168269</v>
      </c>
      <c r="K76" s="2">
        <v>7.4E-4</v>
      </c>
      <c r="L76" s="2">
        <f t="shared" si="6"/>
        <v>0.0000010951994</v>
      </c>
      <c r="M76" s="2">
        <f t="shared" si="7"/>
        <v>0.001269336105</v>
      </c>
      <c r="N76" s="2">
        <f t="shared" si="8"/>
        <v>0.00222729053</v>
      </c>
      <c r="O76" s="2"/>
      <c r="P76" s="2"/>
      <c r="Q76" s="2"/>
      <c r="R76" s="4"/>
    </row>
    <row r="77" ht="14.25" customHeight="1">
      <c r="A77" s="1">
        <v>15.0</v>
      </c>
      <c r="B77" s="1">
        <f t="shared" si="1"/>
        <v>0.2616666667</v>
      </c>
      <c r="C77" s="1">
        <f t="shared" si="2"/>
        <v>0.01343640244</v>
      </c>
      <c r="D77" s="1">
        <f t="shared" si="3"/>
        <v>0.008935207623</v>
      </c>
      <c r="E77" s="1">
        <f t="shared" si="4"/>
        <v>-0.008935207623</v>
      </c>
      <c r="F77" s="1">
        <f t="shared" si="5"/>
        <v>0.01787041525</v>
      </c>
      <c r="K77" s="2">
        <v>7.5E-4</v>
      </c>
      <c r="L77" s="2">
        <f t="shared" si="6"/>
        <v>0.000001124999367</v>
      </c>
      <c r="M77" s="2">
        <f t="shared" si="7"/>
        <v>0.001303874267</v>
      </c>
      <c r="N77" s="2">
        <f t="shared" si="8"/>
        <v>0.002257466851</v>
      </c>
      <c r="O77" s="2"/>
      <c r="P77" s="2"/>
      <c r="Q77" s="2"/>
      <c r="R77" s="4"/>
    </row>
    <row r="78" ht="14.25" customHeight="1">
      <c r="A78" s="1">
        <v>14.0</v>
      </c>
      <c r="B78" s="1">
        <f t="shared" si="1"/>
        <v>0.2442222222</v>
      </c>
      <c r="C78" s="1">
        <f t="shared" si="2"/>
        <v>0.01255918031</v>
      </c>
      <c r="D78" s="1">
        <f t="shared" si="3"/>
        <v>0.008351854907</v>
      </c>
      <c r="E78" s="1">
        <f t="shared" si="4"/>
        <v>-0.008351854907</v>
      </c>
      <c r="F78" s="1">
        <f t="shared" si="5"/>
        <v>0.01670370981</v>
      </c>
      <c r="K78" s="2">
        <v>7.6E-4</v>
      </c>
      <c r="L78" s="2">
        <f t="shared" si="6"/>
        <v>0.000001155199333</v>
      </c>
      <c r="M78" s="2">
        <f t="shared" si="7"/>
        <v>0.001338876027</v>
      </c>
      <c r="N78" s="2">
        <f t="shared" si="8"/>
        <v>0.002287646304</v>
      </c>
      <c r="O78" s="2"/>
      <c r="P78" s="2"/>
      <c r="Q78" s="2"/>
      <c r="R78" s="4"/>
    </row>
    <row r="79" ht="14.25" customHeight="1">
      <c r="A79" s="1">
        <v>13.0</v>
      </c>
      <c r="B79" s="1">
        <f t="shared" si="1"/>
        <v>0.2267777778</v>
      </c>
      <c r="C79" s="1">
        <f t="shared" si="2"/>
        <v>0.01167813641</v>
      </c>
      <c r="D79" s="1">
        <f t="shared" si="3"/>
        <v>0.007765960713</v>
      </c>
      <c r="E79" s="1">
        <f t="shared" si="4"/>
        <v>-0.007765960713</v>
      </c>
      <c r="F79" s="1">
        <f t="shared" si="5"/>
        <v>0.01553192143</v>
      </c>
      <c r="K79" s="2">
        <v>7.7E-4</v>
      </c>
      <c r="L79" s="2">
        <f t="shared" si="6"/>
        <v>0.000001185799297</v>
      </c>
      <c r="M79" s="2">
        <f t="shared" si="7"/>
        <v>0.001374341385</v>
      </c>
      <c r="N79" s="2">
        <f t="shared" si="8"/>
        <v>0.002317828932</v>
      </c>
      <c r="O79" s="2"/>
      <c r="P79" s="2"/>
      <c r="Q79" s="2"/>
      <c r="R79" s="4"/>
    </row>
    <row r="80" ht="14.25" customHeight="1">
      <c r="A80" s="1">
        <v>12.0</v>
      </c>
      <c r="B80" s="1">
        <f t="shared" si="1"/>
        <v>0.2093333333</v>
      </c>
      <c r="C80" s="1">
        <f t="shared" si="2"/>
        <v>0.01079353884</v>
      </c>
      <c r="D80" s="1">
        <f t="shared" si="3"/>
        <v>0.007177703331</v>
      </c>
      <c r="E80" s="1">
        <f t="shared" si="4"/>
        <v>-0.007177703331</v>
      </c>
      <c r="F80" s="1">
        <f t="shared" si="5"/>
        <v>0.01435540666</v>
      </c>
      <c r="K80" s="2">
        <v>7.8E-4</v>
      </c>
      <c r="L80" s="2">
        <f t="shared" si="6"/>
        <v>0.00000121679926</v>
      </c>
      <c r="M80" s="2">
        <f t="shared" si="7"/>
        <v>0.001410270342</v>
      </c>
      <c r="N80" s="2">
        <f t="shared" si="8"/>
        <v>0.002348014777</v>
      </c>
      <c r="O80" s="2"/>
      <c r="P80" s="2"/>
      <c r="Q80" s="2"/>
      <c r="R80" s="4"/>
    </row>
    <row r="81" ht="14.25" customHeight="1">
      <c r="A81" s="1">
        <v>11.0</v>
      </c>
      <c r="B81" s="1">
        <f t="shared" si="1"/>
        <v>0.1918888889</v>
      </c>
      <c r="C81" s="1">
        <f t="shared" si="2"/>
        <v>0.009905656793</v>
      </c>
      <c r="D81" s="1">
        <f t="shared" si="3"/>
        <v>0.006587261767</v>
      </c>
      <c r="E81" s="1">
        <f t="shared" si="4"/>
        <v>-0.006587261767</v>
      </c>
      <c r="F81" s="1">
        <f t="shared" si="5"/>
        <v>0.01317452353</v>
      </c>
      <c r="K81" s="2">
        <v>7.9E-4</v>
      </c>
      <c r="L81" s="2">
        <f t="shared" si="6"/>
        <v>0.000001248199221</v>
      </c>
      <c r="M81" s="2">
        <f t="shared" si="7"/>
        <v>0.001446662897</v>
      </c>
      <c r="N81" s="2">
        <f t="shared" si="8"/>
        <v>0.00237820388</v>
      </c>
      <c r="O81" s="2"/>
      <c r="P81" s="2"/>
      <c r="Q81" s="2"/>
      <c r="R81" s="4"/>
    </row>
    <row r="82" ht="14.25" customHeight="1">
      <c r="A82" s="1">
        <v>10.0</v>
      </c>
      <c r="B82" s="1">
        <f t="shared" si="1"/>
        <v>0.1744444444</v>
      </c>
      <c r="C82" s="1">
        <f t="shared" si="2"/>
        <v>0.009014760441</v>
      </c>
      <c r="D82" s="1">
        <f t="shared" si="3"/>
        <v>0.005994815693</v>
      </c>
      <c r="E82" s="1">
        <f t="shared" si="4"/>
        <v>-0.005994815693</v>
      </c>
      <c r="F82" s="1">
        <f t="shared" si="5"/>
        <v>0.01198963139</v>
      </c>
      <c r="K82" s="2">
        <v>8.0E-4</v>
      </c>
      <c r="L82" s="2">
        <f t="shared" si="6"/>
        <v>0.000001279999181</v>
      </c>
      <c r="M82" s="2">
        <f t="shared" si="7"/>
        <v>0.001483519051</v>
      </c>
      <c r="N82" s="2">
        <f t="shared" si="8"/>
        <v>0.002408396282</v>
      </c>
      <c r="O82" s="2"/>
      <c r="P82" s="2"/>
      <c r="Q82" s="2"/>
      <c r="R82" s="4"/>
    </row>
    <row r="83" ht="14.25" customHeight="1">
      <c r="A83" s="1">
        <v>9.0</v>
      </c>
      <c r="B83" s="1">
        <f t="shared" si="1"/>
        <v>0.157</v>
      </c>
      <c r="C83" s="1">
        <f t="shared" si="2"/>
        <v>0.00812112089</v>
      </c>
      <c r="D83" s="1">
        <f t="shared" si="3"/>
        <v>0.005400545392</v>
      </c>
      <c r="E83" s="1">
        <f t="shared" si="4"/>
        <v>-0.005400545392</v>
      </c>
      <c r="F83" s="1">
        <f t="shared" si="5"/>
        <v>0.01080109078</v>
      </c>
      <c r="K83" s="2">
        <v>8.1E-4</v>
      </c>
      <c r="L83" s="2">
        <f t="shared" si="6"/>
        <v>0.000001312199139</v>
      </c>
      <c r="M83" s="2">
        <f t="shared" si="7"/>
        <v>0.001520838802</v>
      </c>
      <c r="N83" s="2">
        <f t="shared" si="8"/>
        <v>0.002438592027</v>
      </c>
      <c r="O83" s="2"/>
      <c r="P83" s="2"/>
      <c r="Q83" s="2"/>
      <c r="R83" s="4"/>
    </row>
    <row r="84" ht="14.25" customHeight="1">
      <c r="A84" s="1">
        <v>8.0</v>
      </c>
      <c r="B84" s="1">
        <f t="shared" si="1"/>
        <v>0.1395555556</v>
      </c>
      <c r="C84" s="1">
        <f t="shared" si="2"/>
        <v>0.007225010073</v>
      </c>
      <c r="D84" s="1">
        <f t="shared" si="3"/>
        <v>0.004804631699</v>
      </c>
      <c r="E84" s="1">
        <f t="shared" si="4"/>
        <v>-0.004804631699</v>
      </c>
      <c r="F84" s="1">
        <f t="shared" si="5"/>
        <v>0.009609263398</v>
      </c>
      <c r="K84" s="2">
        <v>8.2E-4</v>
      </c>
      <c r="L84" s="2">
        <f t="shared" si="6"/>
        <v>0.000001344799096</v>
      </c>
      <c r="M84" s="2">
        <f t="shared" si="7"/>
        <v>0.001558622152</v>
      </c>
      <c r="N84" s="2">
        <f t="shared" si="8"/>
        <v>0.002468791155</v>
      </c>
      <c r="O84" s="2"/>
      <c r="P84" s="2"/>
      <c r="Q84" s="2"/>
      <c r="R84" s="4"/>
    </row>
    <row r="85" ht="14.25" customHeight="1">
      <c r="A85" s="1">
        <v>7.0</v>
      </c>
      <c r="B85" s="1">
        <f t="shared" si="1"/>
        <v>0.1221111111</v>
      </c>
      <c r="C85" s="1">
        <f t="shared" si="2"/>
        <v>0.00632670068</v>
      </c>
      <c r="D85" s="1">
        <f t="shared" si="3"/>
        <v>0.004207255952</v>
      </c>
      <c r="E85" s="1">
        <f t="shared" si="4"/>
        <v>-0.004207255952</v>
      </c>
      <c r="F85" s="1">
        <f t="shared" si="5"/>
        <v>0.008414511904</v>
      </c>
      <c r="K85" s="2">
        <v>8.3E-4</v>
      </c>
      <c r="L85" s="2">
        <f t="shared" si="6"/>
        <v>0.000001377799051</v>
      </c>
      <c r="M85" s="2">
        <f t="shared" si="7"/>
        <v>0.0015968691</v>
      </c>
      <c r="N85" s="2">
        <f t="shared" si="8"/>
        <v>0.002498993708</v>
      </c>
      <c r="O85" s="2"/>
      <c r="P85" s="2"/>
      <c r="Q85" s="2"/>
      <c r="R85" s="4"/>
    </row>
    <row r="86" ht="14.25" customHeight="1">
      <c r="A86" s="1">
        <v>6.0</v>
      </c>
      <c r="B86" s="1">
        <f t="shared" si="1"/>
        <v>0.1046666667</v>
      </c>
      <c r="C86" s="1">
        <f t="shared" si="2"/>
        <v>0.005426466066</v>
      </c>
      <c r="D86" s="1">
        <f t="shared" si="3"/>
        <v>0.003608599934</v>
      </c>
      <c r="E86" s="1">
        <f t="shared" si="4"/>
        <v>-0.003608599934</v>
      </c>
      <c r="F86" s="1">
        <f t="shared" si="5"/>
        <v>0.007217199867</v>
      </c>
      <c r="K86" s="2">
        <v>8.4E-4</v>
      </c>
      <c r="L86" s="2">
        <f t="shared" si="6"/>
        <v>0.000001411199004</v>
      </c>
      <c r="M86" s="2">
        <f t="shared" si="7"/>
        <v>0.001635579646</v>
      </c>
      <c r="N86" s="2">
        <f t="shared" si="8"/>
        <v>0.002529199728</v>
      </c>
      <c r="O86" s="2"/>
      <c r="P86" s="2"/>
      <c r="Q86" s="2"/>
      <c r="R86" s="4"/>
    </row>
    <row r="87" ht="14.25" customHeight="1">
      <c r="A87" s="1">
        <v>5.0</v>
      </c>
      <c r="B87" s="1">
        <f t="shared" si="1"/>
        <v>0.08722222222</v>
      </c>
      <c r="C87" s="1">
        <f t="shared" si="2"/>
        <v>0.004524580173</v>
      </c>
      <c r="D87" s="1">
        <f t="shared" si="3"/>
        <v>0.003008845815</v>
      </c>
      <c r="E87" s="1">
        <f t="shared" si="4"/>
        <v>-0.003008845815</v>
      </c>
      <c r="F87" s="1">
        <f t="shared" si="5"/>
        <v>0.00601769163</v>
      </c>
      <c r="K87" s="2">
        <v>8.5E-4</v>
      </c>
      <c r="L87" s="2">
        <f t="shared" si="6"/>
        <v>0.000001444998956</v>
      </c>
      <c r="M87" s="2">
        <f t="shared" si="7"/>
        <v>0.00167475379</v>
      </c>
      <c r="N87" s="2">
        <f t="shared" si="8"/>
        <v>0.002559409258</v>
      </c>
      <c r="O87" s="2"/>
      <c r="P87" s="2"/>
      <c r="Q87" s="2"/>
      <c r="R87" s="4"/>
    </row>
    <row r="88" ht="14.25" customHeight="1">
      <c r="A88" s="1">
        <v>4.0</v>
      </c>
      <c r="B88" s="1">
        <f t="shared" si="1"/>
        <v>0.06977777778</v>
      </c>
      <c r="C88" s="1">
        <f t="shared" si="2"/>
        <v>0.003621317446</v>
      </c>
      <c r="D88" s="1">
        <f t="shared" si="3"/>
        <v>0.002408176101</v>
      </c>
      <c r="E88" s="1">
        <f t="shared" si="4"/>
        <v>-0.002408176101</v>
      </c>
      <c r="F88" s="1">
        <f t="shared" si="5"/>
        <v>0.004816352203</v>
      </c>
      <c r="K88" s="2">
        <v>8.6E-4</v>
      </c>
      <c r="L88" s="2">
        <f t="shared" si="6"/>
        <v>0.000001479198906</v>
      </c>
      <c r="M88" s="2">
        <f t="shared" si="7"/>
        <v>0.001714391532</v>
      </c>
      <c r="N88" s="2">
        <f t="shared" si="8"/>
        <v>0.002589622337</v>
      </c>
      <c r="O88" s="2"/>
      <c r="P88" s="2"/>
      <c r="Q88" s="2"/>
      <c r="R88" s="4"/>
    </row>
    <row r="89" ht="14.25" customHeight="1">
      <c r="A89" s="1">
        <v>3.0</v>
      </c>
      <c r="B89" s="1">
        <f t="shared" si="1"/>
        <v>0.05233333333</v>
      </c>
      <c r="C89" s="1">
        <f t="shared" si="2"/>
        <v>0.002716952749</v>
      </c>
      <c r="D89" s="1">
        <f t="shared" si="3"/>
        <v>0.001806773578</v>
      </c>
      <c r="E89" s="1">
        <f t="shared" si="4"/>
        <v>-0.001806773578</v>
      </c>
      <c r="F89" s="1">
        <f t="shared" si="5"/>
        <v>0.003613547156</v>
      </c>
      <c r="K89" s="2">
        <v>8.7E-4</v>
      </c>
      <c r="L89" s="2">
        <f t="shared" si="6"/>
        <v>0.000001513798854</v>
      </c>
      <c r="M89" s="2">
        <f t="shared" si="7"/>
        <v>0.001754492872</v>
      </c>
      <c r="N89" s="2">
        <f t="shared" si="8"/>
        <v>0.002619839009</v>
      </c>
      <c r="O89" s="2"/>
      <c r="P89" s="2"/>
      <c r="Q89" s="2"/>
      <c r="R89" s="4"/>
    </row>
    <row r="90" ht="14.25" customHeight="1">
      <c r="A90" s="1">
        <v>2.0</v>
      </c>
      <c r="B90" s="1">
        <f t="shared" si="1"/>
        <v>0.03488888889</v>
      </c>
      <c r="C90" s="1">
        <f t="shared" si="2"/>
        <v>0.00181176128</v>
      </c>
      <c r="D90" s="1">
        <f t="shared" si="3"/>
        <v>0.001204821251</v>
      </c>
      <c r="E90" s="1">
        <f t="shared" si="4"/>
        <v>-0.001204821251</v>
      </c>
      <c r="F90" s="1">
        <f t="shared" si="5"/>
        <v>0.002409642503</v>
      </c>
      <c r="K90" s="2">
        <v>8.8E-4</v>
      </c>
      <c r="L90" s="2">
        <f t="shared" si="6"/>
        <v>0.000001548798801</v>
      </c>
      <c r="M90" s="2">
        <f t="shared" si="7"/>
        <v>0.00179505781</v>
      </c>
      <c r="N90" s="2">
        <f t="shared" si="8"/>
        <v>0.002650059315</v>
      </c>
      <c r="O90" s="2"/>
      <c r="P90" s="2"/>
      <c r="Q90" s="2"/>
      <c r="R90" s="4"/>
    </row>
    <row r="91" ht="14.25" customHeight="1">
      <c r="A91" s="1">
        <v>1.0</v>
      </c>
      <c r="B91" s="1">
        <f t="shared" si="1"/>
        <v>0.01744444444</v>
      </c>
      <c r="C91" s="1">
        <f t="shared" si="2"/>
        <v>0.0009060184913</v>
      </c>
      <c r="D91" s="1">
        <f t="shared" si="3"/>
        <v>0.0006025022967</v>
      </c>
      <c r="E91" s="1">
        <f t="shared" si="4"/>
        <v>-0.0006025022967</v>
      </c>
      <c r="F91" s="1">
        <f t="shared" si="5"/>
        <v>0.001205004593</v>
      </c>
      <c r="K91" s="2">
        <v>8.9E-4</v>
      </c>
      <c r="L91" s="2">
        <f t="shared" si="6"/>
        <v>0.000001584198745</v>
      </c>
      <c r="M91" s="2">
        <f t="shared" si="7"/>
        <v>0.001836086346</v>
      </c>
      <c r="N91" s="2">
        <f t="shared" si="8"/>
        <v>0.002680283298</v>
      </c>
      <c r="O91" s="2"/>
      <c r="P91" s="2"/>
      <c r="Q91" s="2"/>
      <c r="R91" s="4"/>
    </row>
    <row r="92" ht="14.25" customHeight="1">
      <c r="A92" s="1">
        <v>0.0</v>
      </c>
      <c r="B92" s="1">
        <f t="shared" si="1"/>
        <v>0</v>
      </c>
      <c r="C92" s="1">
        <f t="shared" si="2"/>
        <v>0</v>
      </c>
      <c r="D92" s="1">
        <f t="shared" si="3"/>
        <v>0</v>
      </c>
      <c r="E92" s="1">
        <f t="shared" si="4"/>
        <v>0</v>
      </c>
      <c r="F92" s="1">
        <f t="shared" si="5"/>
        <v>0</v>
      </c>
      <c r="K92" s="2">
        <v>9.0E-4</v>
      </c>
      <c r="L92" s="2">
        <f t="shared" si="6"/>
        <v>0.000001619998688</v>
      </c>
      <c r="M92" s="2">
        <f t="shared" si="7"/>
        <v>0.001877578479</v>
      </c>
      <c r="N92" s="2">
        <f t="shared" si="8"/>
        <v>0.002710510997</v>
      </c>
      <c r="O92" s="2"/>
      <c r="P92" s="2"/>
      <c r="Q92" s="2"/>
      <c r="R92" s="4"/>
    </row>
    <row r="93" ht="14.25" customHeight="1">
      <c r="A93" s="1">
        <v>-1.0</v>
      </c>
      <c r="B93" s="1">
        <f t="shared" si="1"/>
        <v>-0.01744444444</v>
      </c>
      <c r="C93" s="1">
        <f t="shared" si="2"/>
        <v>-0.0009060184913</v>
      </c>
      <c r="D93" s="1">
        <f t="shared" si="3"/>
        <v>-0.0006025022967</v>
      </c>
      <c r="E93" s="1">
        <f t="shared" si="4"/>
        <v>0.0006025022967</v>
      </c>
      <c r="F93" s="1">
        <f t="shared" si="5"/>
        <v>-0.001205004593</v>
      </c>
      <c r="K93" s="2">
        <v>9.1E-4</v>
      </c>
      <c r="L93" s="2">
        <f t="shared" si="6"/>
        <v>0.000001656198628</v>
      </c>
      <c r="M93" s="2">
        <f t="shared" si="7"/>
        <v>0.00191953421</v>
      </c>
      <c r="N93" s="2">
        <f t="shared" si="8"/>
        <v>0.002740742457</v>
      </c>
      <c r="O93" s="2"/>
      <c r="P93" s="2"/>
      <c r="Q93" s="2"/>
      <c r="R93" s="4"/>
    </row>
    <row r="94" ht="14.25" customHeight="1">
      <c r="A94" s="1">
        <v>-2.0</v>
      </c>
      <c r="B94" s="1">
        <f t="shared" si="1"/>
        <v>-0.03488888889</v>
      </c>
      <c r="C94" s="1">
        <f t="shared" si="2"/>
        <v>-0.00181176128</v>
      </c>
      <c r="D94" s="1">
        <f t="shared" si="3"/>
        <v>-0.001204821251</v>
      </c>
      <c r="E94" s="1">
        <f t="shared" si="4"/>
        <v>0.001204821251</v>
      </c>
      <c r="F94" s="1">
        <f t="shared" si="5"/>
        <v>-0.002409642503</v>
      </c>
      <c r="K94" s="2">
        <v>9.2E-4</v>
      </c>
      <c r="L94" s="2">
        <f t="shared" si="6"/>
        <v>0.000001692798567</v>
      </c>
      <c r="M94" s="2">
        <f t="shared" si="7"/>
        <v>0.001961953539</v>
      </c>
      <c r="N94" s="2">
        <f t="shared" si="8"/>
        <v>0.002770977717</v>
      </c>
      <c r="O94" s="2"/>
      <c r="P94" s="2"/>
      <c r="Q94" s="2"/>
      <c r="R94" s="4"/>
    </row>
    <row r="95" ht="14.25" customHeight="1">
      <c r="A95" s="1">
        <v>-3.0</v>
      </c>
      <c r="B95" s="1">
        <f t="shared" si="1"/>
        <v>-0.05233333333</v>
      </c>
      <c r="C95" s="1">
        <f t="shared" si="2"/>
        <v>-0.002716952749</v>
      </c>
      <c r="D95" s="1">
        <f t="shared" si="3"/>
        <v>-0.001806773578</v>
      </c>
      <c r="E95" s="1">
        <f t="shared" si="4"/>
        <v>0.001806773578</v>
      </c>
      <c r="F95" s="1">
        <f t="shared" si="5"/>
        <v>-0.003613547156</v>
      </c>
      <c r="K95" s="2">
        <v>9.3E-4</v>
      </c>
      <c r="L95" s="2">
        <f t="shared" si="6"/>
        <v>0.000001729798504</v>
      </c>
      <c r="M95" s="2">
        <f t="shared" si="7"/>
        <v>0.002004836466</v>
      </c>
      <c r="N95" s="2">
        <f t="shared" si="8"/>
        <v>0.00280121682</v>
      </c>
      <c r="O95" s="2"/>
      <c r="P95" s="2"/>
      <c r="Q95" s="2"/>
      <c r="R95" s="4"/>
    </row>
    <row r="96" ht="14.25" customHeight="1">
      <c r="A96" s="1">
        <v>-4.0</v>
      </c>
      <c r="B96" s="1">
        <f t="shared" si="1"/>
        <v>-0.06977777778</v>
      </c>
      <c r="C96" s="1">
        <f t="shared" si="2"/>
        <v>-0.003621317446</v>
      </c>
      <c r="D96" s="1">
        <f t="shared" si="3"/>
        <v>-0.002408176101</v>
      </c>
      <c r="E96" s="1">
        <f t="shared" si="4"/>
        <v>0.002408176101</v>
      </c>
      <c r="F96" s="1">
        <f t="shared" si="5"/>
        <v>-0.004816352203</v>
      </c>
      <c r="K96" s="2">
        <v>9.4E-4</v>
      </c>
      <c r="L96" s="2">
        <f t="shared" si="6"/>
        <v>0.000001767198438</v>
      </c>
      <c r="M96" s="2">
        <f t="shared" si="7"/>
        <v>0.00204818299</v>
      </c>
      <c r="N96" s="2">
        <f t="shared" si="8"/>
        <v>0.002831459808</v>
      </c>
      <c r="O96" s="2"/>
      <c r="P96" s="2"/>
      <c r="Q96" s="2"/>
      <c r="R96" s="4"/>
    </row>
    <row r="97" ht="14.25" customHeight="1">
      <c r="A97" s="1">
        <v>-5.0</v>
      </c>
      <c r="B97" s="1">
        <f t="shared" si="1"/>
        <v>-0.08722222222</v>
      </c>
      <c r="C97" s="1">
        <f t="shared" si="2"/>
        <v>-0.004524580173</v>
      </c>
      <c r="D97" s="1">
        <f t="shared" si="3"/>
        <v>-0.003008845815</v>
      </c>
      <c r="E97" s="1">
        <f t="shared" si="4"/>
        <v>0.003008845815</v>
      </c>
      <c r="F97" s="1">
        <f t="shared" si="5"/>
        <v>-0.00601769163</v>
      </c>
      <c r="K97" s="2">
        <v>9.5E-4</v>
      </c>
      <c r="L97" s="2">
        <f t="shared" si="6"/>
        <v>0.000001804998371</v>
      </c>
      <c r="M97" s="2">
        <f t="shared" si="7"/>
        <v>0.002091993112</v>
      </c>
      <c r="N97" s="2">
        <f t="shared" si="8"/>
        <v>0.002861706723</v>
      </c>
      <c r="O97" s="2"/>
      <c r="P97" s="2"/>
      <c r="Q97" s="2"/>
      <c r="R97" s="4"/>
    </row>
    <row r="98" ht="14.25" customHeight="1">
      <c r="A98" s="1">
        <v>-6.0</v>
      </c>
      <c r="B98" s="1">
        <f t="shared" si="1"/>
        <v>-0.1046666667</v>
      </c>
      <c r="C98" s="1">
        <f t="shared" si="2"/>
        <v>-0.005426466066</v>
      </c>
      <c r="D98" s="1">
        <f t="shared" si="3"/>
        <v>-0.003608599934</v>
      </c>
      <c r="E98" s="1">
        <f t="shared" si="4"/>
        <v>0.003608599934</v>
      </c>
      <c r="F98" s="1">
        <f t="shared" si="5"/>
        <v>-0.007217199867</v>
      </c>
      <c r="K98" s="2">
        <v>9.6E-4</v>
      </c>
      <c r="L98" s="2">
        <f t="shared" si="6"/>
        <v>0.000001843198301</v>
      </c>
      <c r="M98" s="2">
        <f t="shared" si="7"/>
        <v>0.002136266831</v>
      </c>
      <c r="N98" s="2">
        <f t="shared" si="8"/>
        <v>0.002891957606</v>
      </c>
      <c r="O98" s="2"/>
      <c r="P98" s="2"/>
      <c r="Q98" s="2"/>
      <c r="R98" s="4"/>
    </row>
    <row r="99" ht="14.25" customHeight="1">
      <c r="A99" s="1">
        <v>-7.0</v>
      </c>
      <c r="B99" s="1">
        <f t="shared" si="1"/>
        <v>-0.1221111111</v>
      </c>
      <c r="C99" s="1">
        <f t="shared" si="2"/>
        <v>-0.00632670068</v>
      </c>
      <c r="D99" s="1">
        <f t="shared" si="3"/>
        <v>-0.004207255952</v>
      </c>
      <c r="E99" s="1">
        <f t="shared" si="4"/>
        <v>0.004207255952</v>
      </c>
      <c r="F99" s="1">
        <f t="shared" si="5"/>
        <v>-0.008414511904</v>
      </c>
      <c r="K99" s="2">
        <v>9.7E-4</v>
      </c>
      <c r="L99" s="2">
        <f t="shared" si="6"/>
        <v>0.000001881798229</v>
      </c>
      <c r="M99" s="2">
        <f t="shared" si="7"/>
        <v>0.002181004148</v>
      </c>
      <c r="N99" s="2">
        <f t="shared" si="8"/>
        <v>0.002922212499</v>
      </c>
      <c r="O99" s="2"/>
      <c r="P99" s="2"/>
      <c r="Q99" s="2"/>
      <c r="R99" s="4"/>
    </row>
    <row r="100" ht="14.25" customHeight="1">
      <c r="A100" s="1">
        <v>-8.0</v>
      </c>
      <c r="B100" s="1">
        <f t="shared" si="1"/>
        <v>-0.1395555556</v>
      </c>
      <c r="C100" s="1">
        <f t="shared" si="2"/>
        <v>-0.007225010073</v>
      </c>
      <c r="D100" s="1">
        <f t="shared" si="3"/>
        <v>-0.004804631699</v>
      </c>
      <c r="E100" s="1">
        <f t="shared" si="4"/>
        <v>0.004804631699</v>
      </c>
      <c r="F100" s="1">
        <f t="shared" si="5"/>
        <v>-0.009609263398</v>
      </c>
      <c r="K100" s="2">
        <v>9.8E-4</v>
      </c>
      <c r="L100" s="2">
        <f t="shared" si="6"/>
        <v>0.000001920798155</v>
      </c>
      <c r="M100" s="2">
        <f t="shared" si="7"/>
        <v>0.002226205062</v>
      </c>
      <c r="N100" s="2">
        <f t="shared" si="8"/>
        <v>0.002952471444</v>
      </c>
      <c r="O100" s="2"/>
      <c r="P100" s="2"/>
      <c r="Q100" s="2"/>
      <c r="R100" s="4"/>
    </row>
    <row r="101" ht="14.25" customHeight="1">
      <c r="A101" s="1">
        <v>-9.0</v>
      </c>
      <c r="B101" s="1">
        <f t="shared" si="1"/>
        <v>-0.157</v>
      </c>
      <c r="C101" s="1">
        <f t="shared" si="2"/>
        <v>-0.00812112089</v>
      </c>
      <c r="D101" s="1">
        <f t="shared" si="3"/>
        <v>-0.005400545392</v>
      </c>
      <c r="E101" s="1">
        <f t="shared" si="4"/>
        <v>0.005400545392</v>
      </c>
      <c r="F101" s="1">
        <f t="shared" si="5"/>
        <v>-0.01080109078</v>
      </c>
      <c r="K101" s="2">
        <v>9.9E-4</v>
      </c>
      <c r="L101" s="2">
        <f t="shared" si="6"/>
        <v>0.000001960198079</v>
      </c>
      <c r="M101" s="2">
        <f t="shared" si="7"/>
        <v>0.002271869573</v>
      </c>
      <c r="N101" s="2">
        <f t="shared" si="8"/>
        <v>0.002982734483</v>
      </c>
      <c r="O101" s="2"/>
      <c r="P101" s="2"/>
      <c r="Q101" s="2"/>
      <c r="R101" s="4"/>
    </row>
    <row r="102" ht="14.25" customHeight="1">
      <c r="A102" s="1">
        <v>-10.0</v>
      </c>
      <c r="B102" s="1">
        <f t="shared" si="1"/>
        <v>-0.1744444444</v>
      </c>
      <c r="C102" s="1">
        <f t="shared" si="2"/>
        <v>-0.009014760441</v>
      </c>
      <c r="D102" s="1">
        <f t="shared" si="3"/>
        <v>-0.005994815693</v>
      </c>
      <c r="E102" s="1">
        <f t="shared" si="4"/>
        <v>0.005994815693</v>
      </c>
      <c r="F102" s="1">
        <f t="shared" si="5"/>
        <v>-0.01198963139</v>
      </c>
      <c r="K102" s="2">
        <v>0.001</v>
      </c>
      <c r="L102" s="2">
        <f t="shared" si="6"/>
        <v>0.000001999998</v>
      </c>
      <c r="M102" s="2">
        <f t="shared" si="7"/>
        <v>0.002317997682</v>
      </c>
      <c r="N102" s="2">
        <f t="shared" si="8"/>
        <v>0.003013001656</v>
      </c>
      <c r="O102" s="2"/>
      <c r="P102" s="2"/>
      <c r="Q102" s="2"/>
      <c r="R102" s="4"/>
    </row>
    <row r="103" ht="14.25" customHeight="1">
      <c r="A103" s="1">
        <v>-11.0</v>
      </c>
      <c r="B103" s="1">
        <f t="shared" si="1"/>
        <v>-0.1918888889</v>
      </c>
      <c r="C103" s="1">
        <f t="shared" si="2"/>
        <v>-0.009905656793</v>
      </c>
      <c r="D103" s="1">
        <f t="shared" si="3"/>
        <v>-0.006587261767</v>
      </c>
      <c r="E103" s="1">
        <f t="shared" si="4"/>
        <v>0.006587261767</v>
      </c>
      <c r="F103" s="1">
        <f t="shared" si="5"/>
        <v>-0.01317452353</v>
      </c>
      <c r="K103" s="2">
        <v>0.00101</v>
      </c>
      <c r="L103" s="2">
        <f t="shared" si="6"/>
        <v>0.000002040197919</v>
      </c>
      <c r="M103" s="2">
        <f t="shared" si="7"/>
        <v>0.002364589388</v>
      </c>
      <c r="N103" s="2">
        <f t="shared" si="8"/>
        <v>0.003043273007</v>
      </c>
      <c r="O103" s="2"/>
      <c r="P103" s="2"/>
      <c r="Q103" s="2"/>
      <c r="R103" s="4"/>
    </row>
    <row r="104" ht="14.25" customHeight="1">
      <c r="A104" s="1">
        <v>-12.0</v>
      </c>
      <c r="B104" s="1">
        <f t="shared" si="1"/>
        <v>-0.2093333333</v>
      </c>
      <c r="C104" s="1">
        <f t="shared" si="2"/>
        <v>-0.01079353884</v>
      </c>
      <c r="D104" s="1">
        <f t="shared" si="3"/>
        <v>-0.007177703331</v>
      </c>
      <c r="E104" s="1">
        <f t="shared" si="4"/>
        <v>0.007177703331</v>
      </c>
      <c r="F104" s="1">
        <f t="shared" si="5"/>
        <v>-0.01435540666</v>
      </c>
      <c r="K104" s="2">
        <v>0.00102</v>
      </c>
      <c r="L104" s="2">
        <f t="shared" si="6"/>
        <v>0.000002080797835</v>
      </c>
      <c r="M104" s="2">
        <f t="shared" si="7"/>
        <v>0.002411644691</v>
      </c>
      <c r="N104" s="2">
        <f t="shared" si="8"/>
        <v>0.003073548577</v>
      </c>
      <c r="O104" s="2"/>
      <c r="P104" s="2"/>
      <c r="Q104" s="2"/>
      <c r="R104" s="4"/>
    </row>
    <row r="105" ht="14.25" customHeight="1">
      <c r="A105" s="1">
        <v>-13.0</v>
      </c>
      <c r="B105" s="1">
        <f t="shared" si="1"/>
        <v>-0.2267777778</v>
      </c>
      <c r="C105" s="1">
        <f t="shared" si="2"/>
        <v>-0.01167813641</v>
      </c>
      <c r="D105" s="1">
        <f t="shared" si="3"/>
        <v>-0.007765960713</v>
      </c>
      <c r="E105" s="1">
        <f t="shared" si="4"/>
        <v>0.007765960713</v>
      </c>
      <c r="F105" s="1">
        <f t="shared" si="5"/>
        <v>-0.01553192143</v>
      </c>
      <c r="K105" s="2">
        <v>0.00103</v>
      </c>
      <c r="L105" s="2">
        <f t="shared" si="6"/>
        <v>0.000002121797749</v>
      </c>
      <c r="M105" s="2">
        <f t="shared" si="7"/>
        <v>0.002459163591</v>
      </c>
      <c r="N105" s="2">
        <f t="shared" si="8"/>
        <v>0.003103828408</v>
      </c>
      <c r="O105" s="2"/>
      <c r="P105" s="2"/>
      <c r="Q105" s="2"/>
      <c r="R105" s="4"/>
    </row>
    <row r="106" ht="14.25" customHeight="1">
      <c r="A106" s="1">
        <v>-14.0</v>
      </c>
      <c r="B106" s="1">
        <f t="shared" si="1"/>
        <v>-0.2442222222</v>
      </c>
      <c r="C106" s="1">
        <f t="shared" si="2"/>
        <v>-0.01255918031</v>
      </c>
      <c r="D106" s="1">
        <f t="shared" si="3"/>
        <v>-0.008351854907</v>
      </c>
      <c r="E106" s="1">
        <f t="shared" si="4"/>
        <v>0.008351854907</v>
      </c>
      <c r="F106" s="1">
        <f t="shared" si="5"/>
        <v>-0.01670370981</v>
      </c>
      <c r="K106" s="2">
        <v>0.00104</v>
      </c>
      <c r="L106" s="2">
        <f t="shared" si="6"/>
        <v>0.00000216319766</v>
      </c>
      <c r="M106" s="2">
        <f t="shared" si="7"/>
        <v>0.002507146088</v>
      </c>
      <c r="N106" s="2">
        <f t="shared" si="8"/>
        <v>0.003134112541</v>
      </c>
      <c r="O106" s="2"/>
      <c r="P106" s="2"/>
      <c r="Q106" s="2"/>
      <c r="R106" s="4"/>
    </row>
    <row r="107" ht="14.25" customHeight="1">
      <c r="A107" s="1">
        <v>-15.0</v>
      </c>
      <c r="B107" s="1">
        <f t="shared" si="1"/>
        <v>-0.2616666667</v>
      </c>
      <c r="C107" s="1">
        <f t="shared" si="2"/>
        <v>-0.01343640244</v>
      </c>
      <c r="D107" s="1">
        <f t="shared" si="3"/>
        <v>-0.008935207623</v>
      </c>
      <c r="E107" s="1">
        <f t="shared" si="4"/>
        <v>0.008935207623</v>
      </c>
      <c r="F107" s="1">
        <f t="shared" si="5"/>
        <v>-0.01787041525</v>
      </c>
      <c r="K107" s="2">
        <v>0.00105</v>
      </c>
      <c r="L107" s="2">
        <f t="shared" si="6"/>
        <v>0.000002204997569</v>
      </c>
      <c r="M107" s="2">
        <f t="shared" si="7"/>
        <v>0.002555592182</v>
      </c>
      <c r="N107" s="2">
        <f t="shared" si="8"/>
        <v>0.003164401018</v>
      </c>
      <c r="O107" s="2"/>
      <c r="P107" s="2"/>
      <c r="Q107" s="2"/>
      <c r="R107" s="4"/>
    </row>
    <row r="108" ht="14.25" customHeight="1">
      <c r="A108" s="1">
        <v>-16.0</v>
      </c>
      <c r="B108" s="1">
        <f t="shared" si="1"/>
        <v>-0.2791111111</v>
      </c>
      <c r="C108" s="1">
        <f t="shared" si="2"/>
        <v>-0.01430953586</v>
      </c>
      <c r="D108" s="1">
        <f t="shared" si="3"/>
        <v>-0.009515841347</v>
      </c>
      <c r="E108" s="1">
        <f t="shared" si="4"/>
        <v>0.009515841347</v>
      </c>
      <c r="F108" s="1">
        <f t="shared" si="5"/>
        <v>-0.01903168269</v>
      </c>
      <c r="K108" s="2">
        <v>0.00106</v>
      </c>
      <c r="L108" s="2">
        <f t="shared" si="6"/>
        <v>0.000002247197475</v>
      </c>
      <c r="M108" s="2">
        <f t="shared" si="7"/>
        <v>0.002604501874</v>
      </c>
      <c r="N108" s="2">
        <f t="shared" si="8"/>
        <v>0.003194693882</v>
      </c>
      <c r="O108" s="2"/>
      <c r="P108" s="2"/>
      <c r="Q108" s="2"/>
      <c r="R108" s="4"/>
    </row>
    <row r="109" ht="14.25" customHeight="1">
      <c r="A109" s="1">
        <v>-17.0</v>
      </c>
      <c r="B109" s="1">
        <f t="shared" si="1"/>
        <v>-0.2965555556</v>
      </c>
      <c r="C109" s="1">
        <f t="shared" si="2"/>
        <v>-0.01517831487</v>
      </c>
      <c r="D109" s="1">
        <f t="shared" si="3"/>
        <v>-0.01009357939</v>
      </c>
      <c r="E109" s="1">
        <f t="shared" si="4"/>
        <v>0.01009357939</v>
      </c>
      <c r="F109" s="1">
        <f t="shared" si="5"/>
        <v>-0.02018715878</v>
      </c>
      <c r="K109" s="2">
        <v>0.00107</v>
      </c>
      <c r="L109" s="2">
        <f t="shared" si="6"/>
        <v>0.000002289797378</v>
      </c>
      <c r="M109" s="2">
        <f t="shared" si="7"/>
        <v>0.002653875162</v>
      </c>
      <c r="N109" s="2">
        <f t="shared" si="8"/>
        <v>0.003224991173</v>
      </c>
      <c r="O109" s="2"/>
      <c r="P109" s="2"/>
      <c r="Q109" s="2"/>
      <c r="R109" s="4"/>
    </row>
    <row r="110" ht="14.25" customHeight="1">
      <c r="A110" s="1">
        <v>-18.0</v>
      </c>
      <c r="B110" s="1">
        <f t="shared" si="1"/>
        <v>-0.314</v>
      </c>
      <c r="C110" s="1">
        <f t="shared" si="2"/>
        <v>-0.01604247511</v>
      </c>
      <c r="D110" s="1">
        <f t="shared" si="3"/>
        <v>-0.01066824595</v>
      </c>
      <c r="E110" s="1">
        <f t="shared" si="4"/>
        <v>0.01066824595</v>
      </c>
      <c r="F110" s="1">
        <f t="shared" si="5"/>
        <v>-0.0213364919</v>
      </c>
      <c r="K110" s="2">
        <v>0.00108</v>
      </c>
      <c r="L110" s="2">
        <f t="shared" si="6"/>
        <v>0.000002332797279</v>
      </c>
      <c r="M110" s="2">
        <f t="shared" si="7"/>
        <v>0.002703712046</v>
      </c>
      <c r="N110" s="2">
        <f t="shared" si="8"/>
        <v>0.003255292934</v>
      </c>
      <c r="O110" s="2"/>
      <c r="P110" s="2"/>
      <c r="Q110" s="2"/>
      <c r="R110" s="4"/>
    </row>
    <row r="111" ht="14.25" customHeight="1">
      <c r="A111" s="1">
        <v>-19.0</v>
      </c>
      <c r="B111" s="1">
        <f t="shared" si="1"/>
        <v>-0.3314444444</v>
      </c>
      <c r="C111" s="1">
        <f t="shared" si="2"/>
        <v>-0.01690175361</v>
      </c>
      <c r="D111" s="1">
        <f t="shared" si="3"/>
        <v>-0.01123966615</v>
      </c>
      <c r="E111" s="1">
        <f t="shared" si="4"/>
        <v>0.01123966615</v>
      </c>
      <c r="F111" s="1">
        <f t="shared" si="5"/>
        <v>-0.02247933231</v>
      </c>
      <c r="K111" s="2">
        <v>0.00109</v>
      </c>
      <c r="L111" s="2">
        <f t="shared" si="6"/>
        <v>0.000002376197177</v>
      </c>
      <c r="M111" s="2">
        <f t="shared" si="7"/>
        <v>0.002754012528</v>
      </c>
      <c r="N111" s="2">
        <f t="shared" si="8"/>
        <v>0.003285599206</v>
      </c>
      <c r="O111" s="2"/>
      <c r="P111" s="2"/>
      <c r="Q111" s="2"/>
      <c r="R111" s="4"/>
    </row>
    <row r="112" ht="14.25" customHeight="1">
      <c r="A112" s="1">
        <v>-20.0</v>
      </c>
      <c r="B112" s="1">
        <f t="shared" si="1"/>
        <v>-0.3488888889</v>
      </c>
      <c r="C112" s="1">
        <f t="shared" si="2"/>
        <v>-0.01775588889</v>
      </c>
      <c r="D112" s="1">
        <f t="shared" si="3"/>
        <v>-0.01180766611</v>
      </c>
      <c r="E112" s="1">
        <f t="shared" si="4"/>
        <v>0.01180766611</v>
      </c>
      <c r="F112" s="1">
        <f t="shared" si="5"/>
        <v>-0.02361533223</v>
      </c>
      <c r="K112" s="2">
        <v>0.0011</v>
      </c>
      <c r="L112" s="2">
        <f t="shared" si="6"/>
        <v>0.000002419997072</v>
      </c>
      <c r="M112" s="2">
        <f t="shared" si="7"/>
        <v>0.002804776606</v>
      </c>
      <c r="N112" s="2">
        <f t="shared" si="8"/>
        <v>0.003315910031</v>
      </c>
      <c r="O112" s="2"/>
      <c r="P112" s="2"/>
      <c r="Q112" s="2"/>
      <c r="R112" s="4"/>
    </row>
    <row r="113" ht="14.25" customHeight="1">
      <c r="A113" s="1">
        <v>-21.0</v>
      </c>
      <c r="B113" s="1">
        <f t="shared" si="1"/>
        <v>-0.3663333333</v>
      </c>
      <c r="C113" s="1">
        <f t="shared" si="2"/>
        <v>-0.01860462104</v>
      </c>
      <c r="D113" s="1">
        <f t="shared" si="3"/>
        <v>-0.01237207299</v>
      </c>
      <c r="E113" s="1">
        <f t="shared" si="4"/>
        <v>0.01237207299</v>
      </c>
      <c r="F113" s="1">
        <f t="shared" si="5"/>
        <v>-0.02474414598</v>
      </c>
      <c r="K113" s="2">
        <v>0.00111</v>
      </c>
      <c r="L113" s="2">
        <f t="shared" si="6"/>
        <v>0.000002464196964</v>
      </c>
      <c r="M113" s="2">
        <f t="shared" si="7"/>
        <v>0.002856004281</v>
      </c>
      <c r="N113" s="2">
        <f t="shared" si="8"/>
        <v>0.003346225451</v>
      </c>
      <c r="O113" s="2"/>
      <c r="P113" s="2"/>
      <c r="Q113" s="2"/>
      <c r="R113" s="4"/>
    </row>
    <row r="114" ht="14.25" customHeight="1">
      <c r="A114" s="1">
        <v>-22.0</v>
      </c>
      <c r="B114" s="1">
        <f t="shared" si="1"/>
        <v>-0.3837777778</v>
      </c>
      <c r="C114" s="1">
        <f t="shared" si="2"/>
        <v>-0.01944769178</v>
      </c>
      <c r="D114" s="1">
        <f t="shared" si="3"/>
        <v>-0.01293271504</v>
      </c>
      <c r="E114" s="1">
        <f t="shared" si="4"/>
        <v>0.01293271504</v>
      </c>
      <c r="F114" s="1">
        <f t="shared" si="5"/>
        <v>-0.02586543007</v>
      </c>
      <c r="K114" s="2">
        <v>0.00112</v>
      </c>
      <c r="L114" s="2">
        <f t="shared" si="6"/>
        <v>0.000002508796853</v>
      </c>
      <c r="M114" s="2">
        <f t="shared" si="7"/>
        <v>0.002907695553</v>
      </c>
      <c r="N114" s="2">
        <f t="shared" si="8"/>
        <v>0.003376545507</v>
      </c>
      <c r="O114" s="2"/>
      <c r="P114" s="2"/>
      <c r="Q114" s="2"/>
      <c r="R114" s="4"/>
    </row>
    <row r="115" ht="14.25" customHeight="1">
      <c r="A115" s="1">
        <v>-23.0</v>
      </c>
      <c r="B115" s="1">
        <f t="shared" si="1"/>
        <v>-0.4012222222</v>
      </c>
      <c r="C115" s="1">
        <f t="shared" si="2"/>
        <v>-0.02028484458</v>
      </c>
      <c r="D115" s="1">
        <f t="shared" si="3"/>
        <v>-0.01348942164</v>
      </c>
      <c r="E115" s="1">
        <f t="shared" si="4"/>
        <v>0.01348942164</v>
      </c>
      <c r="F115" s="1">
        <f t="shared" si="5"/>
        <v>-0.02697884329</v>
      </c>
      <c r="K115" s="2">
        <v>0.00113</v>
      </c>
      <c r="L115" s="2">
        <f t="shared" si="6"/>
        <v>0.000002553796739</v>
      </c>
      <c r="M115" s="2">
        <f t="shared" si="7"/>
        <v>0.002959850421</v>
      </c>
      <c r="N115" s="2">
        <f t="shared" si="8"/>
        <v>0.003406870242</v>
      </c>
      <c r="O115" s="2"/>
      <c r="P115" s="2"/>
      <c r="Q115" s="2"/>
      <c r="R115" s="4"/>
    </row>
    <row r="116" ht="14.25" customHeight="1">
      <c r="A116" s="1">
        <v>-24.0</v>
      </c>
      <c r="B116" s="1">
        <f t="shared" si="1"/>
        <v>-0.4186666667</v>
      </c>
      <c r="C116" s="1">
        <f t="shared" si="2"/>
        <v>-0.02111582467</v>
      </c>
      <c r="D116" s="1">
        <f t="shared" si="3"/>
        <v>-0.01404202341</v>
      </c>
      <c r="E116" s="1">
        <f t="shared" si="4"/>
        <v>0.01404202341</v>
      </c>
      <c r="F116" s="1">
        <f t="shared" si="5"/>
        <v>-0.02808404681</v>
      </c>
      <c r="K116" s="2">
        <v>0.00114</v>
      </c>
      <c r="L116" s="2">
        <f t="shared" si="6"/>
        <v>0.000002599196622</v>
      </c>
      <c r="M116" s="2">
        <f t="shared" si="7"/>
        <v>0.003012468885</v>
      </c>
      <c r="N116" s="2">
        <f t="shared" si="8"/>
        <v>0.003437199697</v>
      </c>
      <c r="O116" s="2"/>
      <c r="P116" s="2"/>
      <c r="Q116" s="2"/>
      <c r="R116" s="4"/>
    </row>
    <row r="117" ht="14.25" customHeight="1">
      <c r="A117" s="1">
        <v>-25.0</v>
      </c>
      <c r="B117" s="1">
        <f t="shared" si="1"/>
        <v>-0.4361111111</v>
      </c>
      <c r="C117" s="1">
        <f t="shared" si="2"/>
        <v>-0.0219403792</v>
      </c>
      <c r="D117" s="1">
        <f t="shared" si="3"/>
        <v>-0.01459035217</v>
      </c>
      <c r="E117" s="1">
        <f t="shared" si="4"/>
        <v>0.01459035217</v>
      </c>
      <c r="F117" s="1">
        <f t="shared" si="5"/>
        <v>-0.02918070434</v>
      </c>
      <c r="K117" s="2">
        <v>0.00115</v>
      </c>
      <c r="L117" s="2">
        <f t="shared" si="6"/>
        <v>0.000002644996502</v>
      </c>
      <c r="M117" s="2">
        <f t="shared" si="7"/>
        <v>0.003065550946</v>
      </c>
      <c r="N117" s="2">
        <f t="shared" si="8"/>
        <v>0.003467533914</v>
      </c>
      <c r="O117" s="2"/>
      <c r="P117" s="2"/>
      <c r="Q117" s="2"/>
      <c r="R117" s="4"/>
    </row>
    <row r="118" ht="14.25" customHeight="1">
      <c r="A118" s="1">
        <v>-26.0</v>
      </c>
      <c r="B118" s="1">
        <f t="shared" si="1"/>
        <v>-0.4535555556</v>
      </c>
      <c r="C118" s="1">
        <f t="shared" si="2"/>
        <v>-0.02275825726</v>
      </c>
      <c r="D118" s="1">
        <f t="shared" si="3"/>
        <v>-0.01513424108</v>
      </c>
      <c r="E118" s="1">
        <f t="shared" si="4"/>
        <v>0.01513424108</v>
      </c>
      <c r="F118" s="1">
        <f t="shared" si="5"/>
        <v>-0.03026848215</v>
      </c>
      <c r="K118" s="2">
        <v>0.00116</v>
      </c>
      <c r="L118" s="2">
        <f t="shared" si="6"/>
        <v>0.000002691196379</v>
      </c>
      <c r="M118" s="2">
        <f t="shared" si="7"/>
        <v>0.003119096603</v>
      </c>
      <c r="N118" s="2">
        <f t="shared" si="8"/>
        <v>0.003497872935</v>
      </c>
      <c r="O118" s="2"/>
      <c r="P118" s="2"/>
      <c r="Q118" s="2"/>
      <c r="R118" s="4"/>
    </row>
    <row r="119" ht="14.25" customHeight="1">
      <c r="A119" s="1">
        <v>-27.0</v>
      </c>
      <c r="B119" s="1">
        <f t="shared" si="1"/>
        <v>-0.471</v>
      </c>
      <c r="C119" s="1">
        <f t="shared" si="2"/>
        <v>-0.02356920995</v>
      </c>
      <c r="D119" s="1">
        <f t="shared" si="3"/>
        <v>-0.01567352462</v>
      </c>
      <c r="E119" s="1">
        <f t="shared" si="4"/>
        <v>0.01567352462</v>
      </c>
      <c r="F119" s="1">
        <f t="shared" si="5"/>
        <v>-0.03134704923</v>
      </c>
      <c r="K119" s="2">
        <v>0.00117</v>
      </c>
      <c r="L119" s="2">
        <f t="shared" si="6"/>
        <v>0.000002737796252</v>
      </c>
      <c r="M119" s="2">
        <f t="shared" si="7"/>
        <v>0.003173105856</v>
      </c>
      <c r="N119" s="2">
        <f t="shared" si="8"/>
        <v>0.003528216801</v>
      </c>
      <c r="O119" s="2"/>
      <c r="P119" s="2"/>
      <c r="Q119" s="2"/>
      <c r="R119" s="4"/>
    </row>
    <row r="120" ht="14.25" customHeight="1">
      <c r="A120" s="1">
        <v>-28.0</v>
      </c>
      <c r="B120" s="1">
        <f t="shared" si="1"/>
        <v>-0.4884444444</v>
      </c>
      <c r="C120" s="1">
        <f t="shared" si="2"/>
        <v>-0.02437299051</v>
      </c>
      <c r="D120" s="1">
        <f t="shared" si="3"/>
        <v>-0.01620803869</v>
      </c>
      <c r="E120" s="1">
        <f t="shared" si="4"/>
        <v>0.01620803869</v>
      </c>
      <c r="F120" s="1">
        <f t="shared" si="5"/>
        <v>-0.03241607738</v>
      </c>
      <c r="K120" s="2">
        <v>0.00118</v>
      </c>
      <c r="L120" s="2">
        <f t="shared" si="6"/>
        <v>0.000002784796123</v>
      </c>
      <c r="M120" s="2">
        <f t="shared" si="7"/>
        <v>0.003227578706</v>
      </c>
      <c r="N120" s="2">
        <f t="shared" si="8"/>
        <v>0.003558565555</v>
      </c>
      <c r="O120" s="2"/>
      <c r="P120" s="2"/>
      <c r="Q120" s="2"/>
      <c r="R120" s="4"/>
    </row>
    <row r="121" ht="14.25" customHeight="1">
      <c r="A121" s="1">
        <v>-29.0</v>
      </c>
      <c r="B121" s="1">
        <f t="shared" si="1"/>
        <v>-0.5058888889</v>
      </c>
      <c r="C121" s="1">
        <f t="shared" si="2"/>
        <v>-0.02516935435</v>
      </c>
      <c r="D121" s="1">
        <f t="shared" si="3"/>
        <v>-0.01673762064</v>
      </c>
      <c r="E121" s="1">
        <f t="shared" si="4"/>
        <v>0.01673762064</v>
      </c>
      <c r="F121" s="1">
        <f t="shared" si="5"/>
        <v>-0.03347524129</v>
      </c>
      <c r="K121" s="2">
        <v>0.00119</v>
      </c>
      <c r="L121" s="2">
        <f t="shared" si="6"/>
        <v>0.000002832195989</v>
      </c>
      <c r="M121" s="2">
        <f t="shared" si="7"/>
        <v>0.003282515152</v>
      </c>
      <c r="N121" s="2">
        <f t="shared" si="8"/>
        <v>0.003588919237</v>
      </c>
      <c r="O121" s="2"/>
      <c r="P121" s="2"/>
      <c r="Q121" s="2"/>
      <c r="R121" s="4"/>
    </row>
    <row r="122" ht="14.25" customHeight="1">
      <c r="A122" s="1">
        <v>-30.0</v>
      </c>
      <c r="B122" s="1">
        <f t="shared" si="1"/>
        <v>-0.5233333333</v>
      </c>
      <c r="C122" s="1">
        <f t="shared" si="2"/>
        <v>-0.02595805913</v>
      </c>
      <c r="D122" s="1">
        <f t="shared" si="3"/>
        <v>-0.01726210932</v>
      </c>
      <c r="E122" s="1">
        <f t="shared" si="4"/>
        <v>0.01726210932</v>
      </c>
      <c r="F122" s="1">
        <f t="shared" si="5"/>
        <v>-0.03452421864</v>
      </c>
      <c r="K122" s="2">
        <v>0.0012</v>
      </c>
      <c r="L122" s="2">
        <f t="shared" si="6"/>
        <v>0.000002879995853</v>
      </c>
      <c r="M122" s="2">
        <f t="shared" si="7"/>
        <v>0.003337915194</v>
      </c>
      <c r="N122" s="2">
        <f t="shared" si="8"/>
        <v>0.00361927789</v>
      </c>
      <c r="O122" s="2"/>
      <c r="P122" s="2"/>
      <c r="Q122" s="2"/>
      <c r="R122" s="4"/>
    </row>
    <row r="123" ht="14.25" customHeight="1">
      <c r="A123" s="1">
        <v>-31.0</v>
      </c>
      <c r="B123" s="1">
        <f t="shared" si="1"/>
        <v>-0.5407777778</v>
      </c>
      <c r="C123" s="1">
        <f t="shared" si="2"/>
        <v>-0.02673886485</v>
      </c>
      <c r="D123" s="1">
        <f t="shared" si="3"/>
        <v>-0.01778134513</v>
      </c>
      <c r="E123" s="1">
        <f t="shared" si="4"/>
        <v>0.01778134513</v>
      </c>
      <c r="F123" s="1">
        <f t="shared" si="5"/>
        <v>-0.03556269025</v>
      </c>
      <c r="K123" s="2">
        <v>0.00121</v>
      </c>
      <c r="L123" s="2">
        <f t="shared" si="6"/>
        <v>0.000002928195713</v>
      </c>
      <c r="M123" s="2">
        <f t="shared" si="7"/>
        <v>0.003393778831</v>
      </c>
      <c r="N123" s="2">
        <f t="shared" si="8"/>
        <v>0.003649641556</v>
      </c>
      <c r="O123" s="2"/>
      <c r="P123" s="2"/>
      <c r="Q123" s="2"/>
      <c r="R123" s="4"/>
    </row>
    <row r="124" ht="14.25" customHeight="1">
      <c r="A124" s="1">
        <v>-32.0</v>
      </c>
      <c r="B124" s="1">
        <f t="shared" si="1"/>
        <v>-0.5582222222</v>
      </c>
      <c r="C124" s="1">
        <f t="shared" si="2"/>
        <v>-0.02751153391</v>
      </c>
      <c r="D124" s="1">
        <f t="shared" si="3"/>
        <v>-0.01829517005</v>
      </c>
      <c r="E124" s="1">
        <f t="shared" si="4"/>
        <v>0.01829517005</v>
      </c>
      <c r="F124" s="1">
        <f t="shared" si="5"/>
        <v>-0.0365903401</v>
      </c>
      <c r="K124" s="2">
        <v>0.00122</v>
      </c>
      <c r="L124" s="2">
        <f t="shared" si="6"/>
        <v>0.000002976795569</v>
      </c>
      <c r="M124" s="2">
        <f t="shared" si="7"/>
        <v>0.003450106065</v>
      </c>
      <c r="N124" s="2">
        <f t="shared" si="8"/>
        <v>0.003680010276</v>
      </c>
      <c r="O124" s="2"/>
      <c r="P124" s="2"/>
      <c r="Q124" s="2"/>
      <c r="R124" s="4"/>
    </row>
    <row r="125" ht="14.25" customHeight="1">
      <c r="A125" s="1">
        <v>-33.0</v>
      </c>
      <c r="B125" s="1">
        <f t="shared" si="1"/>
        <v>-0.5756666667</v>
      </c>
      <c r="C125" s="1">
        <f t="shared" si="2"/>
        <v>-0.02827583118</v>
      </c>
      <c r="D125" s="1">
        <f t="shared" si="3"/>
        <v>-0.01880342774</v>
      </c>
      <c r="E125" s="1">
        <f t="shared" si="4"/>
        <v>0.01880342774</v>
      </c>
      <c r="F125" s="1">
        <f t="shared" si="5"/>
        <v>-0.03760685547</v>
      </c>
      <c r="K125" s="2">
        <v>0.00123</v>
      </c>
      <c r="L125" s="2">
        <f t="shared" si="6"/>
        <v>0.000003025795422</v>
      </c>
      <c r="M125" s="2">
        <f t="shared" si="7"/>
        <v>0.003506896894</v>
      </c>
      <c r="N125" s="2">
        <f t="shared" si="8"/>
        <v>0.003710384093</v>
      </c>
      <c r="O125" s="2"/>
      <c r="P125" s="2"/>
      <c r="Q125" s="2"/>
      <c r="R125" s="4"/>
    </row>
    <row r="126" ht="14.25" customHeight="1">
      <c r="A126" s="1">
        <v>-34.0</v>
      </c>
      <c r="B126" s="1">
        <f t="shared" si="1"/>
        <v>-0.5931111111</v>
      </c>
      <c r="C126" s="1">
        <f t="shared" si="2"/>
        <v>-0.02903152409</v>
      </c>
      <c r="D126" s="1">
        <f t="shared" si="3"/>
        <v>-0.01930596352</v>
      </c>
      <c r="E126" s="1">
        <f t="shared" si="4"/>
        <v>0.01930596352</v>
      </c>
      <c r="F126" s="1">
        <f t="shared" si="5"/>
        <v>-0.03861192704</v>
      </c>
      <c r="K126" s="2">
        <v>0.00124</v>
      </c>
      <c r="L126" s="2">
        <f t="shared" si="6"/>
        <v>0.000003075195272</v>
      </c>
      <c r="M126" s="2">
        <f t="shared" si="7"/>
        <v>0.00356415132</v>
      </c>
      <c r="N126" s="2">
        <f t="shared" si="8"/>
        <v>0.003740763047</v>
      </c>
      <c r="O126" s="2"/>
      <c r="P126" s="2"/>
      <c r="Q126" s="2"/>
      <c r="R126" s="4"/>
    </row>
    <row r="127" ht="14.25" customHeight="1">
      <c r="A127" s="1">
        <v>-35.0</v>
      </c>
      <c r="B127" s="1">
        <f t="shared" si="1"/>
        <v>-0.6105555556</v>
      </c>
      <c r="C127" s="1">
        <f t="shared" si="2"/>
        <v>-0.02977838268</v>
      </c>
      <c r="D127" s="1">
        <f t="shared" si="3"/>
        <v>-0.01980262448</v>
      </c>
      <c r="E127" s="1">
        <f t="shared" si="4"/>
        <v>0.01980262448</v>
      </c>
      <c r="F127" s="1">
        <f t="shared" si="5"/>
        <v>-0.03960524897</v>
      </c>
      <c r="K127" s="2">
        <v>0.00125</v>
      </c>
      <c r="L127" s="2">
        <f t="shared" si="6"/>
        <v>0.000003124995117</v>
      </c>
      <c r="M127" s="2">
        <f t="shared" si="7"/>
        <v>0.003621869341</v>
      </c>
      <c r="N127" s="2">
        <f t="shared" si="8"/>
        <v>0.003771147181</v>
      </c>
      <c r="O127" s="2"/>
      <c r="P127" s="2"/>
      <c r="Q127" s="2"/>
      <c r="R127" s="4"/>
    </row>
    <row r="128" ht="14.25" customHeight="1">
      <c r="A128" s="1">
        <v>-36.0</v>
      </c>
      <c r="B128" s="1">
        <f t="shared" si="1"/>
        <v>-0.628</v>
      </c>
      <c r="C128" s="1">
        <f t="shared" si="2"/>
        <v>-0.03051617969</v>
      </c>
      <c r="D128" s="1">
        <f t="shared" si="3"/>
        <v>-0.02029325949</v>
      </c>
      <c r="E128" s="1">
        <f t="shared" si="4"/>
        <v>0.02029325949</v>
      </c>
      <c r="F128" s="1">
        <f t="shared" si="5"/>
        <v>-0.04058651898</v>
      </c>
      <c r="K128" s="2">
        <v>0.00126</v>
      </c>
      <c r="L128" s="2">
        <f t="shared" si="6"/>
        <v>0.000003175194959</v>
      </c>
      <c r="M128" s="2">
        <f t="shared" si="7"/>
        <v>0.003680050958</v>
      </c>
      <c r="N128" s="2">
        <f t="shared" si="8"/>
        <v>0.003801536536</v>
      </c>
      <c r="O128" s="2"/>
      <c r="P128" s="2"/>
      <c r="Q128" s="2"/>
      <c r="R128" s="4"/>
    </row>
    <row r="129" ht="14.25" customHeight="1">
      <c r="A129" s="1">
        <v>-37.0</v>
      </c>
      <c r="B129" s="1">
        <f t="shared" si="1"/>
        <v>-0.6454444444</v>
      </c>
      <c r="C129" s="1">
        <f t="shared" si="2"/>
        <v>-0.03124469059</v>
      </c>
      <c r="D129" s="1">
        <f t="shared" si="3"/>
        <v>-0.02077771924</v>
      </c>
      <c r="E129" s="1">
        <f t="shared" si="4"/>
        <v>0.02077771924</v>
      </c>
      <c r="F129" s="1">
        <f t="shared" si="5"/>
        <v>-0.04155543848</v>
      </c>
      <c r="K129" s="2">
        <v>0.00127</v>
      </c>
      <c r="L129" s="2">
        <f t="shared" si="6"/>
        <v>0.000003225794797</v>
      </c>
      <c r="M129" s="2">
        <f t="shared" si="7"/>
        <v>0.00373869617</v>
      </c>
      <c r="N129" s="2">
        <f t="shared" si="8"/>
        <v>0.003831931154</v>
      </c>
      <c r="O129" s="2"/>
      <c r="P129" s="2"/>
      <c r="Q129" s="2"/>
      <c r="R129" s="4"/>
    </row>
    <row r="130" ht="14.25" customHeight="1">
      <c r="A130" s="1">
        <v>-38.0</v>
      </c>
      <c r="B130" s="1">
        <f t="shared" si="1"/>
        <v>-0.6628888889</v>
      </c>
      <c r="C130" s="1">
        <f t="shared" si="2"/>
        <v>-0.0319636937</v>
      </c>
      <c r="D130" s="1">
        <f t="shared" si="3"/>
        <v>-0.02125585631</v>
      </c>
      <c r="E130" s="1">
        <f t="shared" si="4"/>
        <v>0.02125585631</v>
      </c>
      <c r="F130" s="1">
        <f t="shared" si="5"/>
        <v>-0.04251171262</v>
      </c>
      <c r="K130" s="2">
        <v>0.00128</v>
      </c>
      <c r="L130" s="2">
        <f t="shared" si="6"/>
        <v>0.000003276794631</v>
      </c>
      <c r="M130" s="2">
        <f t="shared" si="7"/>
        <v>0.003797804978</v>
      </c>
      <c r="N130" s="2">
        <f t="shared" si="8"/>
        <v>0.003862331078</v>
      </c>
      <c r="O130" s="2"/>
      <c r="P130" s="2"/>
      <c r="Q130" s="2"/>
      <c r="R130" s="4"/>
    </row>
    <row r="131" ht="14.25" customHeight="1">
      <c r="A131" s="1">
        <v>-39.0</v>
      </c>
      <c r="B131" s="1">
        <f t="shared" si="1"/>
        <v>-0.6803333333</v>
      </c>
      <c r="C131" s="1">
        <f t="shared" si="2"/>
        <v>-0.03267297023</v>
      </c>
      <c r="D131" s="1">
        <f t="shared" si="3"/>
        <v>-0.0217275252</v>
      </c>
      <c r="E131" s="1">
        <f t="shared" si="4"/>
        <v>0.0217275252</v>
      </c>
      <c r="F131" s="1">
        <f t="shared" si="5"/>
        <v>-0.0434550504</v>
      </c>
      <c r="K131" s="2">
        <v>0.00129</v>
      </c>
      <c r="L131" s="2">
        <f t="shared" si="6"/>
        <v>0.000003328194462</v>
      </c>
      <c r="M131" s="2">
        <f t="shared" si="7"/>
        <v>0.003857377381</v>
      </c>
      <c r="N131" s="2">
        <f t="shared" si="8"/>
        <v>0.003892736348</v>
      </c>
      <c r="O131" s="2"/>
      <c r="P131" s="2"/>
      <c r="Q131" s="2"/>
      <c r="R131" s="4"/>
    </row>
    <row r="132" ht="14.25" customHeight="1">
      <c r="A132" s="1">
        <v>-40.0</v>
      </c>
      <c r="B132" s="1">
        <f t="shared" si="1"/>
        <v>-0.6977777778</v>
      </c>
      <c r="C132" s="1">
        <f t="shared" si="2"/>
        <v>-0.03337230434</v>
      </c>
      <c r="D132" s="1">
        <f t="shared" si="3"/>
        <v>-0.02219258239</v>
      </c>
      <c r="E132" s="1">
        <f t="shared" si="4"/>
        <v>0.02219258239</v>
      </c>
      <c r="F132" s="1">
        <f t="shared" si="5"/>
        <v>-0.04438516478</v>
      </c>
      <c r="K132" s="2">
        <v>0.0013</v>
      </c>
      <c r="L132" s="2">
        <f t="shared" si="6"/>
        <v>0.000003379994288</v>
      </c>
      <c r="M132" s="2">
        <f t="shared" si="7"/>
        <v>0.00391741338</v>
      </c>
      <c r="N132" s="2">
        <f t="shared" si="8"/>
        <v>0.003923147006</v>
      </c>
      <c r="O132" s="2"/>
      <c r="P132" s="2"/>
      <c r="Q132" s="2"/>
      <c r="R132" s="4"/>
    </row>
    <row r="133" ht="14.25" customHeight="1">
      <c r="A133" s="1">
        <v>-41.0</v>
      </c>
      <c r="B133" s="1">
        <f t="shared" si="1"/>
        <v>-0.7152222222</v>
      </c>
      <c r="C133" s="1">
        <f t="shared" si="2"/>
        <v>-0.03406148324</v>
      </c>
      <c r="D133" s="1">
        <f t="shared" si="3"/>
        <v>-0.02265088635</v>
      </c>
      <c r="E133" s="1">
        <f t="shared" si="4"/>
        <v>0.02265088635</v>
      </c>
      <c r="F133" s="1">
        <f t="shared" si="5"/>
        <v>-0.0453017727</v>
      </c>
      <c r="K133" s="2">
        <v>0.00131</v>
      </c>
      <c r="L133" s="2">
        <f t="shared" si="6"/>
        <v>0.00000343219411</v>
      </c>
      <c r="M133" s="2">
        <f t="shared" si="7"/>
        <v>0.003977912974</v>
      </c>
      <c r="N133" s="2">
        <f t="shared" si="8"/>
        <v>0.003953563095</v>
      </c>
      <c r="O133" s="2"/>
      <c r="P133" s="2"/>
      <c r="Q133" s="2"/>
      <c r="R133" s="4"/>
    </row>
    <row r="134" ht="14.25" customHeight="1">
      <c r="A134" s="1">
        <v>-42.0</v>
      </c>
      <c r="B134" s="1">
        <f t="shared" si="1"/>
        <v>-0.7326666667</v>
      </c>
      <c r="C134" s="1">
        <f t="shared" si="2"/>
        <v>-0.03474029719</v>
      </c>
      <c r="D134" s="1">
        <f t="shared" si="3"/>
        <v>-0.02310229763</v>
      </c>
      <c r="E134" s="1">
        <f t="shared" si="4"/>
        <v>0.02310229763</v>
      </c>
      <c r="F134" s="1">
        <f t="shared" si="5"/>
        <v>-0.04620459526</v>
      </c>
      <c r="K134" s="2">
        <v>0.00132</v>
      </c>
      <c r="L134" s="2">
        <f t="shared" si="6"/>
        <v>0.000003484793928</v>
      </c>
      <c r="M134" s="2">
        <f t="shared" si="7"/>
        <v>0.004038876163</v>
      </c>
      <c r="N134" s="2">
        <f t="shared" si="8"/>
        <v>0.003983984656</v>
      </c>
      <c r="O134" s="2"/>
      <c r="P134" s="2"/>
      <c r="Q134" s="2"/>
      <c r="R134" s="4"/>
    </row>
    <row r="135" ht="14.25" customHeight="1">
      <c r="A135" s="1">
        <v>-43.0</v>
      </c>
      <c r="B135" s="1">
        <f t="shared" si="1"/>
        <v>-0.7501111111</v>
      </c>
      <c r="C135" s="1">
        <f t="shared" si="2"/>
        <v>-0.03540853963</v>
      </c>
      <c r="D135" s="1">
        <f t="shared" si="3"/>
        <v>-0.02354667886</v>
      </c>
      <c r="E135" s="1">
        <f t="shared" si="4"/>
        <v>0.02354667886</v>
      </c>
      <c r="F135" s="1">
        <f t="shared" si="5"/>
        <v>-0.04709335771</v>
      </c>
      <c r="K135" s="2">
        <v>0.00133</v>
      </c>
      <c r="L135" s="2">
        <f t="shared" si="6"/>
        <v>0.000003537793742</v>
      </c>
      <c r="M135" s="2">
        <f t="shared" si="7"/>
        <v>0.004100302947</v>
      </c>
      <c r="N135" s="2">
        <f t="shared" si="8"/>
        <v>0.00401441173</v>
      </c>
      <c r="O135" s="2"/>
      <c r="P135" s="2"/>
      <c r="Q135" s="2"/>
      <c r="R135" s="4"/>
    </row>
    <row r="136" ht="14.25" customHeight="1">
      <c r="A136" s="1">
        <v>-44.0</v>
      </c>
      <c r="B136" s="1">
        <f t="shared" si="1"/>
        <v>-0.7675555556</v>
      </c>
      <c r="C136" s="1">
        <f t="shared" si="2"/>
        <v>-0.03606600723</v>
      </c>
      <c r="D136" s="1">
        <f t="shared" si="3"/>
        <v>-0.02398389481</v>
      </c>
      <c r="E136" s="1">
        <f t="shared" si="4"/>
        <v>0.02398389481</v>
      </c>
      <c r="F136" s="1">
        <f t="shared" si="5"/>
        <v>-0.04796778962</v>
      </c>
      <c r="K136" s="2">
        <v>0.00134</v>
      </c>
      <c r="L136" s="2">
        <f t="shared" si="6"/>
        <v>0.000003591193552</v>
      </c>
      <c r="M136" s="2">
        <f t="shared" si="7"/>
        <v>0.004162193326</v>
      </c>
      <c r="N136" s="2">
        <f t="shared" si="8"/>
        <v>0.004044844361</v>
      </c>
      <c r="O136" s="2"/>
      <c r="P136" s="2"/>
      <c r="Q136" s="2"/>
      <c r="R136" s="4"/>
    </row>
    <row r="137" ht="14.25" customHeight="1">
      <c r="A137" s="1">
        <v>-45.0</v>
      </c>
      <c r="B137" s="1">
        <f t="shared" si="1"/>
        <v>-0.785</v>
      </c>
      <c r="C137" s="1">
        <f t="shared" si="2"/>
        <v>-0.03671249991</v>
      </c>
      <c r="D137" s="1">
        <f t="shared" si="3"/>
        <v>-0.02441381244</v>
      </c>
      <c r="E137" s="1">
        <f t="shared" si="4"/>
        <v>0.02441381244</v>
      </c>
      <c r="F137" s="1">
        <f t="shared" si="5"/>
        <v>-0.04882762488</v>
      </c>
      <c r="K137" s="2">
        <v>0.00135</v>
      </c>
      <c r="L137" s="2">
        <f t="shared" si="6"/>
        <v>0.000003644993357</v>
      </c>
      <c r="M137" s="2">
        <f t="shared" si="7"/>
        <v>0.004224547301</v>
      </c>
      <c r="N137" s="2">
        <f t="shared" si="8"/>
        <v>0.004075282588</v>
      </c>
      <c r="O137" s="2"/>
      <c r="P137" s="2"/>
      <c r="Q137" s="2"/>
      <c r="R137" s="4"/>
    </row>
    <row r="138" ht="14.25" customHeight="1">
      <c r="A138" s="1">
        <v>-46.0</v>
      </c>
      <c r="B138" s="1">
        <f t="shared" si="1"/>
        <v>-0.8024444444</v>
      </c>
      <c r="C138" s="1">
        <f t="shared" si="2"/>
        <v>-0.03734782094</v>
      </c>
      <c r="D138" s="1">
        <f t="shared" si="3"/>
        <v>-0.02483630092</v>
      </c>
      <c r="E138" s="1">
        <f t="shared" si="4"/>
        <v>0.02483630092</v>
      </c>
      <c r="F138" s="1">
        <f t="shared" si="5"/>
        <v>-0.04967260184</v>
      </c>
      <c r="K138" s="2">
        <v>0.00136</v>
      </c>
      <c r="L138" s="2">
        <f t="shared" si="6"/>
        <v>0.000003699193158</v>
      </c>
      <c r="M138" s="2">
        <f t="shared" si="7"/>
        <v>0.00428736487</v>
      </c>
      <c r="N138" s="2">
        <f t="shared" si="8"/>
        <v>0.004105726455</v>
      </c>
      <c r="O138" s="2"/>
      <c r="P138" s="2"/>
      <c r="Q138" s="2"/>
      <c r="R138" s="4"/>
    </row>
    <row r="139" ht="14.25" customHeight="1">
      <c r="A139" s="1">
        <v>-47.0</v>
      </c>
      <c r="B139" s="1">
        <f t="shared" si="1"/>
        <v>-0.8198888889</v>
      </c>
      <c r="C139" s="1">
        <f t="shared" si="2"/>
        <v>-0.03797177699</v>
      </c>
      <c r="D139" s="1">
        <f t="shared" si="3"/>
        <v>-0.0252512317</v>
      </c>
      <c r="E139" s="1">
        <f t="shared" si="4"/>
        <v>0.0252512317</v>
      </c>
      <c r="F139" s="1">
        <f t="shared" si="5"/>
        <v>-0.05050246339</v>
      </c>
      <c r="K139" s="2">
        <v>0.00137</v>
      </c>
      <c r="L139" s="2">
        <f t="shared" si="6"/>
        <v>0.000003753792954</v>
      </c>
      <c r="M139" s="2">
        <f t="shared" si="7"/>
        <v>0.004350646034</v>
      </c>
      <c r="N139" s="2">
        <f t="shared" si="8"/>
        <v>0.004136176002</v>
      </c>
      <c r="O139" s="2"/>
      <c r="P139" s="2"/>
      <c r="Q139" s="2"/>
      <c r="R139" s="4"/>
    </row>
    <row r="140" ht="14.25" customHeight="1">
      <c r="A140" s="1">
        <v>-48.0</v>
      </c>
      <c r="B140" s="1">
        <f t="shared" si="1"/>
        <v>-0.8373333333</v>
      </c>
      <c r="C140" s="1">
        <f t="shared" si="2"/>
        <v>-0.03858417819</v>
      </c>
      <c r="D140" s="1">
        <f t="shared" si="3"/>
        <v>-0.0256584785</v>
      </c>
      <c r="E140" s="1">
        <f t="shared" si="4"/>
        <v>0.0256584785</v>
      </c>
      <c r="F140" s="1">
        <f t="shared" si="5"/>
        <v>-0.051316957</v>
      </c>
      <c r="K140" s="2">
        <v>0.00138</v>
      </c>
      <c r="L140" s="2">
        <f t="shared" si="6"/>
        <v>0.000003808792747</v>
      </c>
      <c r="M140" s="2">
        <f t="shared" si="7"/>
        <v>0.004414390793</v>
      </c>
      <c r="N140" s="2">
        <f t="shared" si="8"/>
        <v>0.004166631272</v>
      </c>
      <c r="O140" s="2"/>
      <c r="P140" s="2"/>
      <c r="Q140" s="2"/>
      <c r="R140" s="4"/>
    </row>
    <row r="141" ht="14.25" customHeight="1">
      <c r="A141" s="1">
        <v>-49.0</v>
      </c>
      <c r="B141" s="1">
        <f t="shared" si="1"/>
        <v>-0.8547777778</v>
      </c>
      <c r="C141" s="1">
        <f t="shared" si="2"/>
        <v>-0.0391848382</v>
      </c>
      <c r="D141" s="1">
        <f t="shared" si="3"/>
        <v>-0.0260579174</v>
      </c>
      <c r="E141" s="1">
        <f t="shared" si="4"/>
        <v>0.0260579174</v>
      </c>
      <c r="F141" s="1">
        <f t="shared" si="5"/>
        <v>-0.0521158348</v>
      </c>
      <c r="K141" s="2">
        <v>0.00139</v>
      </c>
      <c r="L141" s="2">
        <f t="shared" si="6"/>
        <v>0.000003864192534</v>
      </c>
      <c r="M141" s="2">
        <f t="shared" si="7"/>
        <v>0.004478599147</v>
      </c>
      <c r="N141" s="2">
        <f t="shared" si="8"/>
        <v>0.004197092307</v>
      </c>
      <c r="O141" s="2"/>
      <c r="P141" s="2"/>
      <c r="Q141" s="2"/>
      <c r="R141" s="4"/>
    </row>
    <row r="142" ht="14.25" customHeight="1">
      <c r="A142" s="1">
        <v>-50.0</v>
      </c>
      <c r="B142" s="1">
        <f t="shared" si="1"/>
        <v>-0.8722222222</v>
      </c>
      <c r="C142" s="1">
        <f t="shared" si="2"/>
        <v>-0.03977357422</v>
      </c>
      <c r="D142" s="1">
        <f t="shared" si="3"/>
        <v>-0.02644942686</v>
      </c>
      <c r="E142" s="1">
        <f t="shared" si="4"/>
        <v>0.02644942686</v>
      </c>
      <c r="F142" s="1">
        <f t="shared" si="5"/>
        <v>-0.05289885371</v>
      </c>
      <c r="K142" s="2">
        <v>0.0014</v>
      </c>
      <c r="L142" s="2">
        <f t="shared" si="6"/>
        <v>0.000003919992317</v>
      </c>
      <c r="M142" s="2">
        <f t="shared" si="7"/>
        <v>0.004543271095</v>
      </c>
      <c r="N142" s="2">
        <f t="shared" si="8"/>
        <v>0.004227559148</v>
      </c>
      <c r="O142" s="2"/>
      <c r="P142" s="2"/>
      <c r="Q142" s="2"/>
      <c r="R142" s="4"/>
    </row>
    <row r="143" ht="14.25" customHeight="1">
      <c r="A143" s="1">
        <v>-51.0</v>
      </c>
      <c r="B143" s="1">
        <f t="shared" si="1"/>
        <v>-0.8896666667</v>
      </c>
      <c r="C143" s="1">
        <f t="shared" si="2"/>
        <v>-0.0403502071</v>
      </c>
      <c r="D143" s="1">
        <f t="shared" si="3"/>
        <v>-0.02683288772</v>
      </c>
      <c r="E143" s="1">
        <f t="shared" si="4"/>
        <v>0.02683288772</v>
      </c>
      <c r="F143" s="1">
        <f t="shared" si="5"/>
        <v>-0.05366577545</v>
      </c>
      <c r="K143" s="2">
        <v>0.00141</v>
      </c>
      <c r="L143" s="2">
        <f t="shared" si="6"/>
        <v>0.000003976192095</v>
      </c>
      <c r="M143" s="2">
        <f t="shared" si="7"/>
        <v>0.004608406638</v>
      </c>
      <c r="N143" s="2">
        <f t="shared" si="8"/>
        <v>0.004258031836</v>
      </c>
      <c r="O143" s="2"/>
      <c r="P143" s="2"/>
      <c r="Q143" s="2"/>
      <c r="R143" s="4"/>
    </row>
    <row r="144" ht="14.25" customHeight="1">
      <c r="A144" s="1">
        <v>-52.0</v>
      </c>
      <c r="B144" s="1">
        <f t="shared" si="1"/>
        <v>-0.9071111111</v>
      </c>
      <c r="C144" s="1">
        <f t="shared" si="2"/>
        <v>-0.04091456139</v>
      </c>
      <c r="D144" s="1">
        <f t="shared" si="3"/>
        <v>-0.02720818332</v>
      </c>
      <c r="E144" s="1">
        <f t="shared" si="4"/>
        <v>0.02720818332</v>
      </c>
      <c r="F144" s="1">
        <f t="shared" si="5"/>
        <v>-0.05441636664</v>
      </c>
      <c r="K144" s="2">
        <v>0.00142</v>
      </c>
      <c r="L144" s="2">
        <f t="shared" si="6"/>
        <v>0.000004032791868</v>
      </c>
      <c r="M144" s="2">
        <f t="shared" si="7"/>
        <v>0.004674005776</v>
      </c>
      <c r="N144" s="2">
        <f t="shared" si="8"/>
        <v>0.004288510415</v>
      </c>
      <c r="O144" s="2"/>
      <c r="P144" s="2"/>
      <c r="Q144" s="2"/>
      <c r="R144" s="4"/>
    </row>
    <row r="145" ht="14.25" customHeight="1">
      <c r="A145" s="1">
        <v>-53.0</v>
      </c>
      <c r="B145" s="1">
        <f t="shared" si="1"/>
        <v>-0.9245555556</v>
      </c>
      <c r="C145" s="1">
        <f t="shared" si="2"/>
        <v>-0.04146646533</v>
      </c>
      <c r="D145" s="1">
        <f t="shared" si="3"/>
        <v>-0.02757519944</v>
      </c>
      <c r="E145" s="1">
        <f t="shared" si="4"/>
        <v>0.02757519944</v>
      </c>
      <c r="F145" s="1">
        <f t="shared" si="5"/>
        <v>-0.05515039888</v>
      </c>
      <c r="K145" s="2">
        <v>0.00143</v>
      </c>
      <c r="L145" s="2">
        <f t="shared" si="6"/>
        <v>0.000004089791637</v>
      </c>
      <c r="M145" s="2">
        <f t="shared" si="7"/>
        <v>0.004740068507</v>
      </c>
      <c r="N145" s="2">
        <f t="shared" si="8"/>
        <v>0.004318994925</v>
      </c>
      <c r="O145" s="2"/>
      <c r="P145" s="2"/>
      <c r="Q145" s="2"/>
      <c r="R145" s="4"/>
    </row>
    <row r="146" ht="14.25" customHeight="1">
      <c r="A146" s="1">
        <v>-54.0</v>
      </c>
      <c r="B146" s="1">
        <f t="shared" si="1"/>
        <v>-0.942</v>
      </c>
      <c r="C146" s="1">
        <f t="shared" si="2"/>
        <v>-0.04200575099</v>
      </c>
      <c r="D146" s="1">
        <f t="shared" si="3"/>
        <v>-0.02793382441</v>
      </c>
      <c r="E146" s="1">
        <f t="shared" si="4"/>
        <v>0.02793382441</v>
      </c>
      <c r="F146" s="1">
        <f t="shared" si="5"/>
        <v>-0.05586764881</v>
      </c>
      <c r="K146" s="2">
        <v>0.00144</v>
      </c>
      <c r="L146" s="2">
        <f t="shared" si="6"/>
        <v>0.0000041471914</v>
      </c>
      <c r="M146" s="2">
        <f t="shared" si="7"/>
        <v>0.004806594833</v>
      </c>
      <c r="N146" s="2">
        <f t="shared" si="8"/>
        <v>0.004349485408</v>
      </c>
      <c r="O146" s="2"/>
      <c r="P146" s="2"/>
      <c r="Q146" s="2"/>
      <c r="R146" s="4"/>
    </row>
    <row r="147" ht="14.25" customHeight="1">
      <c r="A147" s="1">
        <v>-55.0</v>
      </c>
      <c r="B147" s="1">
        <f t="shared" si="1"/>
        <v>-0.9594444444</v>
      </c>
      <c r="C147" s="1">
        <f t="shared" si="2"/>
        <v>-0.04253225425</v>
      </c>
      <c r="D147" s="1">
        <f t="shared" si="3"/>
        <v>-0.02828394908</v>
      </c>
      <c r="E147" s="1">
        <f t="shared" si="4"/>
        <v>0.02828394908</v>
      </c>
      <c r="F147" s="1">
        <f t="shared" si="5"/>
        <v>-0.05656789816</v>
      </c>
      <c r="K147" s="2">
        <v>0.00145</v>
      </c>
      <c r="L147" s="2">
        <f t="shared" si="6"/>
        <v>0.000004204991159</v>
      </c>
      <c r="M147" s="2">
        <f t="shared" si="7"/>
        <v>0.004873584753</v>
      </c>
      <c r="N147" s="2">
        <f t="shared" si="8"/>
        <v>0.004379981906</v>
      </c>
      <c r="O147" s="2"/>
      <c r="P147" s="2"/>
      <c r="Q147" s="2"/>
      <c r="R147" s="4"/>
    </row>
    <row r="148" ht="14.25" customHeight="1">
      <c r="A148" s="1">
        <v>-56.0</v>
      </c>
      <c r="B148" s="1">
        <f t="shared" si="1"/>
        <v>-0.9768888889</v>
      </c>
      <c r="C148" s="1">
        <f t="shared" si="2"/>
        <v>-0.04304581492</v>
      </c>
      <c r="D148" s="1">
        <f t="shared" si="3"/>
        <v>-0.02862546692</v>
      </c>
      <c r="E148" s="1">
        <f t="shared" si="4"/>
        <v>0.02862546692</v>
      </c>
      <c r="F148" s="1">
        <f t="shared" si="5"/>
        <v>-0.05725093384</v>
      </c>
      <c r="K148" s="2">
        <v>0.00146</v>
      </c>
      <c r="L148" s="2">
        <f t="shared" si="6"/>
        <v>0.000004263190913</v>
      </c>
      <c r="M148" s="2">
        <f t="shared" si="7"/>
        <v>0.004941038268</v>
      </c>
      <c r="N148" s="2">
        <f t="shared" si="8"/>
        <v>0.004410484461</v>
      </c>
      <c r="O148" s="2"/>
      <c r="P148" s="2"/>
      <c r="Q148" s="2"/>
      <c r="R148" s="4"/>
    </row>
    <row r="149" ht="14.25" customHeight="1">
      <c r="A149" s="1">
        <v>-57.0</v>
      </c>
      <c r="B149" s="1">
        <f t="shared" si="1"/>
        <v>-0.9943333333</v>
      </c>
      <c r="C149" s="1">
        <f t="shared" si="2"/>
        <v>-0.0435462767</v>
      </c>
      <c r="D149" s="1">
        <f t="shared" si="3"/>
        <v>-0.02895827401</v>
      </c>
      <c r="E149" s="1">
        <f t="shared" si="4"/>
        <v>0.02895827401</v>
      </c>
      <c r="F149" s="1">
        <f t="shared" si="5"/>
        <v>-0.05791654802</v>
      </c>
      <c r="K149" s="2">
        <v>0.00147</v>
      </c>
      <c r="L149" s="2">
        <f t="shared" si="6"/>
        <v>0.000004321790661</v>
      </c>
      <c r="M149" s="2">
        <f t="shared" si="7"/>
        <v>0.005008955376</v>
      </c>
      <c r="N149" s="2">
        <f t="shared" si="8"/>
        <v>0.004440993115</v>
      </c>
      <c r="O149" s="2"/>
      <c r="P149" s="2"/>
      <c r="Q149" s="2"/>
      <c r="R149" s="4"/>
    </row>
    <row r="150" ht="14.25" customHeight="1">
      <c r="A150" s="1">
        <v>-58.0</v>
      </c>
      <c r="B150" s="1">
        <f t="shared" si="1"/>
        <v>-1.011777778</v>
      </c>
      <c r="C150" s="1">
        <f t="shared" si="2"/>
        <v>-0.04403348731</v>
      </c>
      <c r="D150" s="1">
        <f t="shared" si="3"/>
        <v>-0.02928226906</v>
      </c>
      <c r="E150" s="1">
        <f t="shared" si="4"/>
        <v>0.02928226906</v>
      </c>
      <c r="F150" s="1">
        <f t="shared" si="5"/>
        <v>-0.05856453813</v>
      </c>
      <c r="K150" s="2">
        <v>0.00148</v>
      </c>
      <c r="L150" s="2">
        <f t="shared" si="6"/>
        <v>0.000004380790404</v>
      </c>
      <c r="M150" s="2">
        <f t="shared" si="7"/>
        <v>0.005077336078</v>
      </c>
      <c r="N150" s="2">
        <f t="shared" si="8"/>
        <v>0.004471507909</v>
      </c>
      <c r="O150" s="2"/>
      <c r="P150" s="2"/>
      <c r="Q150" s="2"/>
      <c r="R150" s="4"/>
    </row>
    <row r="151" ht="14.25" customHeight="1">
      <c r="A151" s="1">
        <v>-59.0</v>
      </c>
      <c r="B151" s="1">
        <f t="shared" si="1"/>
        <v>-1.029222222</v>
      </c>
      <c r="C151" s="1">
        <f t="shared" si="2"/>
        <v>-0.04450729849</v>
      </c>
      <c r="D151" s="1">
        <f t="shared" si="3"/>
        <v>-0.0295973535</v>
      </c>
      <c r="E151" s="1">
        <f t="shared" si="4"/>
        <v>0.0295973535</v>
      </c>
      <c r="F151" s="1">
        <f t="shared" si="5"/>
        <v>-0.059194707</v>
      </c>
      <c r="K151" s="2">
        <v>0.00149</v>
      </c>
      <c r="L151" s="2">
        <f t="shared" si="6"/>
        <v>0.000004440190142</v>
      </c>
      <c r="M151" s="2">
        <f t="shared" si="7"/>
        <v>0.005146180375</v>
      </c>
      <c r="N151" s="2">
        <f t="shared" si="8"/>
        <v>0.004502028885</v>
      </c>
      <c r="O151" s="2"/>
      <c r="P151" s="2"/>
      <c r="Q151" s="2"/>
      <c r="R151" s="4"/>
    </row>
    <row r="152" ht="14.25" customHeight="1">
      <c r="A152" s="1">
        <v>-60.0</v>
      </c>
      <c r="B152" s="1">
        <f t="shared" si="1"/>
        <v>-1.046666667</v>
      </c>
      <c r="C152" s="1">
        <f t="shared" si="2"/>
        <v>-0.04496756606</v>
      </c>
      <c r="D152" s="1">
        <f t="shared" si="3"/>
        <v>-0.02990343143</v>
      </c>
      <c r="E152" s="1">
        <f t="shared" si="4"/>
        <v>0.02990343143</v>
      </c>
      <c r="F152" s="1">
        <f t="shared" si="5"/>
        <v>-0.05980686286</v>
      </c>
      <c r="K152" s="2">
        <v>0.0015</v>
      </c>
      <c r="L152" s="2">
        <f t="shared" si="6"/>
        <v>0.000004499989875</v>
      </c>
      <c r="M152" s="2">
        <f t="shared" si="7"/>
        <v>0.005215488265</v>
      </c>
      <c r="N152" s="2">
        <f t="shared" si="8"/>
        <v>0.004532556085</v>
      </c>
      <c r="O152" s="2"/>
      <c r="P152" s="2"/>
      <c r="Q152" s="2"/>
      <c r="R152" s="4"/>
    </row>
    <row r="153" ht="14.25" customHeight="1">
      <c r="A153" s="1">
        <v>-61.0</v>
      </c>
      <c r="B153" s="1">
        <f t="shared" si="1"/>
        <v>-1.064111111</v>
      </c>
      <c r="C153" s="1">
        <f t="shared" si="2"/>
        <v>-0.04541414996</v>
      </c>
      <c r="D153" s="1">
        <f t="shared" si="3"/>
        <v>-0.03020040972</v>
      </c>
      <c r="E153" s="1">
        <f t="shared" si="4"/>
        <v>0.03020040972</v>
      </c>
      <c r="F153" s="1">
        <f t="shared" si="5"/>
        <v>-0.06040081945</v>
      </c>
      <c r="K153" s="2">
        <v>0.00151</v>
      </c>
      <c r="L153" s="2">
        <f t="shared" si="6"/>
        <v>0.000004560189602</v>
      </c>
      <c r="M153" s="2">
        <f t="shared" si="7"/>
        <v>0.005285259749</v>
      </c>
      <c r="N153" s="2">
        <f t="shared" si="8"/>
        <v>0.00456308955</v>
      </c>
      <c r="O153" s="2"/>
      <c r="P153" s="2"/>
      <c r="Q153" s="2"/>
      <c r="R153" s="4"/>
    </row>
    <row r="154" ht="14.25" customHeight="1">
      <c r="A154" s="1">
        <v>-62.0</v>
      </c>
      <c r="B154" s="1">
        <f t="shared" si="1"/>
        <v>-1.081555556</v>
      </c>
      <c r="C154" s="1">
        <f t="shared" si="2"/>
        <v>-0.04584691429</v>
      </c>
      <c r="D154" s="1">
        <f t="shared" si="3"/>
        <v>-0.030488198</v>
      </c>
      <c r="E154" s="1">
        <f t="shared" si="4"/>
        <v>0.030488198</v>
      </c>
      <c r="F154" s="1">
        <f t="shared" si="5"/>
        <v>-0.060976396</v>
      </c>
      <c r="K154" s="2">
        <v>0.00152</v>
      </c>
      <c r="L154" s="2">
        <f t="shared" si="6"/>
        <v>0.000004620789324</v>
      </c>
      <c r="M154" s="2">
        <f t="shared" si="7"/>
        <v>0.005355494827</v>
      </c>
      <c r="N154" s="2">
        <f t="shared" si="8"/>
        <v>0.004593629323</v>
      </c>
      <c r="O154" s="2"/>
      <c r="P154" s="2"/>
      <c r="Q154" s="2"/>
      <c r="R154" s="4"/>
    </row>
    <row r="155" ht="14.25" customHeight="1">
      <c r="A155" s="1">
        <v>-63.0</v>
      </c>
      <c r="B155" s="1">
        <f t="shared" si="1"/>
        <v>-1.099</v>
      </c>
      <c r="C155" s="1">
        <f t="shared" si="2"/>
        <v>-0.04626572736</v>
      </c>
      <c r="D155" s="1">
        <f t="shared" si="3"/>
        <v>-0.03076670869</v>
      </c>
      <c r="E155" s="1">
        <f t="shared" si="4"/>
        <v>0.03076670869</v>
      </c>
      <c r="F155" s="1">
        <f t="shared" si="5"/>
        <v>-0.06153341739</v>
      </c>
      <c r="K155" s="2">
        <v>0.00153</v>
      </c>
      <c r="L155" s="2">
        <f t="shared" si="6"/>
        <v>0.00000468178904</v>
      </c>
      <c r="M155" s="2">
        <f t="shared" si="7"/>
        <v>0.005426193498</v>
      </c>
      <c r="N155" s="2">
        <f t="shared" si="8"/>
        <v>0.004624175445</v>
      </c>
      <c r="O155" s="2"/>
      <c r="P155" s="2"/>
      <c r="Q155" s="2"/>
      <c r="R155" s="4"/>
    </row>
    <row r="156" ht="14.25" customHeight="1">
      <c r="A156" s="1">
        <v>-64.0</v>
      </c>
      <c r="B156" s="1">
        <f t="shared" si="1"/>
        <v>-1.116444444</v>
      </c>
      <c r="C156" s="1">
        <f t="shared" si="2"/>
        <v>-0.04667046172</v>
      </c>
      <c r="D156" s="1">
        <f t="shared" si="3"/>
        <v>-0.03103585705</v>
      </c>
      <c r="E156" s="1">
        <f t="shared" si="4"/>
        <v>0.03103585705</v>
      </c>
      <c r="F156" s="1">
        <f t="shared" si="5"/>
        <v>-0.06207171409</v>
      </c>
      <c r="K156" s="2">
        <v>0.00154</v>
      </c>
      <c r="L156" s="2">
        <f t="shared" si="6"/>
        <v>0.000004743188751</v>
      </c>
      <c r="M156" s="2">
        <f t="shared" si="7"/>
        <v>0.005497355763</v>
      </c>
      <c r="N156" s="2">
        <f t="shared" si="8"/>
        <v>0.004654727959</v>
      </c>
      <c r="O156" s="2"/>
      <c r="P156" s="2"/>
      <c r="Q156" s="2"/>
      <c r="R156" s="4"/>
    </row>
    <row r="157" ht="14.25" customHeight="1">
      <c r="A157" s="1">
        <v>-65.0</v>
      </c>
      <c r="B157" s="1">
        <f t="shared" si="1"/>
        <v>-1.133888889</v>
      </c>
      <c r="C157" s="1">
        <f t="shared" si="2"/>
        <v>-0.04706099423</v>
      </c>
      <c r="D157" s="1">
        <f t="shared" si="3"/>
        <v>-0.03129556116</v>
      </c>
      <c r="E157" s="1">
        <f t="shared" si="4"/>
        <v>0.03129556116</v>
      </c>
      <c r="F157" s="1">
        <f t="shared" si="5"/>
        <v>-0.06259112232</v>
      </c>
      <c r="K157" s="2">
        <v>0.00155</v>
      </c>
      <c r="L157" s="2">
        <f t="shared" si="6"/>
        <v>0.000004804988456</v>
      </c>
      <c r="M157" s="2">
        <f t="shared" si="7"/>
        <v>0.005568981621</v>
      </c>
      <c r="N157" s="2">
        <f t="shared" si="8"/>
        <v>0.004685286904</v>
      </c>
      <c r="O157" s="2"/>
      <c r="P157" s="2"/>
      <c r="Q157" s="2"/>
      <c r="R157" s="4"/>
    </row>
    <row r="158" ht="14.25" customHeight="1">
      <c r="A158" s="1">
        <v>-66.0</v>
      </c>
      <c r="B158" s="1">
        <f t="shared" si="1"/>
        <v>-1.151333333</v>
      </c>
      <c r="C158" s="1">
        <f t="shared" si="2"/>
        <v>-0.04743720602</v>
      </c>
      <c r="D158" s="1">
        <f t="shared" si="3"/>
        <v>-0.03154574201</v>
      </c>
      <c r="E158" s="1">
        <f t="shared" si="4"/>
        <v>0.03154574201</v>
      </c>
      <c r="F158" s="1">
        <f t="shared" si="5"/>
        <v>-0.06309148401</v>
      </c>
      <c r="K158" s="2">
        <v>0.00156</v>
      </c>
      <c r="L158" s="2">
        <f t="shared" si="6"/>
        <v>0.000004867188155</v>
      </c>
      <c r="M158" s="2">
        <f t="shared" si="7"/>
        <v>0.005641071072</v>
      </c>
      <c r="N158" s="2">
        <f t="shared" si="8"/>
        <v>0.004715852325</v>
      </c>
      <c r="O158" s="2"/>
      <c r="P158" s="2"/>
      <c r="Q158" s="2"/>
      <c r="R158" s="4"/>
    </row>
    <row r="159" ht="14.25" customHeight="1">
      <c r="A159" s="1">
        <v>-67.0</v>
      </c>
      <c r="B159" s="1">
        <f t="shared" si="1"/>
        <v>-1.168777778</v>
      </c>
      <c r="C159" s="1">
        <f t="shared" si="2"/>
        <v>-0.04779898264</v>
      </c>
      <c r="D159" s="1">
        <f t="shared" si="3"/>
        <v>-0.03178632345</v>
      </c>
      <c r="E159" s="1">
        <f t="shared" si="4"/>
        <v>0.03178632345</v>
      </c>
      <c r="F159" s="1">
        <f t="shared" si="5"/>
        <v>-0.06357264691</v>
      </c>
      <c r="K159" s="2">
        <v>0.00157</v>
      </c>
      <c r="L159" s="2">
        <f t="shared" si="6"/>
        <v>0.000004929787849</v>
      </c>
      <c r="M159" s="2">
        <f t="shared" si="7"/>
        <v>0.005713624117</v>
      </c>
      <c r="N159" s="2">
        <f t="shared" si="8"/>
        <v>0.004746424261</v>
      </c>
      <c r="O159" s="2"/>
      <c r="P159" s="2"/>
      <c r="Q159" s="2"/>
      <c r="R159" s="4"/>
    </row>
    <row r="160" ht="14.25" customHeight="1">
      <c r="A160" s="1">
        <v>-68.0</v>
      </c>
      <c r="B160" s="1">
        <f t="shared" si="1"/>
        <v>-1.186222222</v>
      </c>
      <c r="C160" s="1">
        <f t="shared" si="2"/>
        <v>-0.04814621397</v>
      </c>
      <c r="D160" s="1">
        <f t="shared" si="3"/>
        <v>-0.03201723229</v>
      </c>
      <c r="E160" s="1">
        <f t="shared" si="4"/>
        <v>0.03201723229</v>
      </c>
      <c r="F160" s="1">
        <f t="shared" si="5"/>
        <v>-0.06403446459</v>
      </c>
      <c r="K160" s="2">
        <v>0.00158</v>
      </c>
      <c r="L160" s="2">
        <f t="shared" si="6"/>
        <v>0.000004992787536</v>
      </c>
      <c r="M160" s="2">
        <f t="shared" si="7"/>
        <v>0.005786640754</v>
      </c>
      <c r="N160" s="2">
        <f t="shared" si="8"/>
        <v>0.004777002756</v>
      </c>
      <c r="O160" s="2"/>
      <c r="P160" s="2"/>
      <c r="Q160" s="2"/>
      <c r="R160" s="4"/>
    </row>
    <row r="161" ht="14.25" customHeight="1">
      <c r="A161" s="1">
        <v>-69.0</v>
      </c>
      <c r="B161" s="1">
        <f t="shared" si="1"/>
        <v>-1.203666667</v>
      </c>
      <c r="C161" s="1">
        <f t="shared" si="2"/>
        <v>-0.04847879437</v>
      </c>
      <c r="D161" s="1">
        <f t="shared" si="3"/>
        <v>-0.03223839826</v>
      </c>
      <c r="E161" s="1">
        <f t="shared" si="4"/>
        <v>0.03223839826</v>
      </c>
      <c r="F161" s="1">
        <f t="shared" si="5"/>
        <v>-0.06447679652</v>
      </c>
      <c r="K161" s="2">
        <v>0.00159</v>
      </c>
      <c r="L161" s="2">
        <f t="shared" si="6"/>
        <v>0.000005056187218</v>
      </c>
      <c r="M161" s="2">
        <f t="shared" si="7"/>
        <v>0.005860120985</v>
      </c>
      <c r="N161" s="2">
        <f t="shared" si="8"/>
        <v>0.004807587851</v>
      </c>
      <c r="O161" s="2"/>
      <c r="P161" s="2"/>
      <c r="Q161" s="2"/>
      <c r="R161" s="4"/>
    </row>
    <row r="162" ht="14.25" customHeight="1">
      <c r="A162" s="1">
        <v>-70.0</v>
      </c>
      <c r="B162" s="1">
        <f t="shared" si="1"/>
        <v>-1.221111111</v>
      </c>
      <c r="C162" s="1">
        <f t="shared" si="2"/>
        <v>-0.04879662263</v>
      </c>
      <c r="D162" s="1">
        <f t="shared" si="3"/>
        <v>-0.03244975405</v>
      </c>
      <c r="E162" s="1">
        <f t="shared" si="4"/>
        <v>0.03244975405</v>
      </c>
      <c r="F162" s="1">
        <f t="shared" si="5"/>
        <v>-0.0648995081</v>
      </c>
      <c r="K162" s="2">
        <v>0.0016</v>
      </c>
      <c r="L162" s="2">
        <f t="shared" si="6"/>
        <v>0.000005119986893</v>
      </c>
      <c r="M162" s="2">
        <f t="shared" si="7"/>
        <v>0.005934064809</v>
      </c>
      <c r="N162" s="2">
        <f t="shared" si="8"/>
        <v>0.004838179587</v>
      </c>
      <c r="O162" s="2"/>
      <c r="P162" s="2"/>
      <c r="Q162" s="2"/>
      <c r="R162" s="4"/>
    </row>
    <row r="163" ht="14.25" customHeight="1">
      <c r="A163" s="1">
        <v>-71.0</v>
      </c>
      <c r="B163" s="1">
        <f t="shared" si="1"/>
        <v>-1.238555556</v>
      </c>
      <c r="C163" s="1">
        <f t="shared" si="2"/>
        <v>-0.04909960203</v>
      </c>
      <c r="D163" s="1">
        <f t="shared" si="3"/>
        <v>-0.03265123535</v>
      </c>
      <c r="E163" s="1">
        <f t="shared" si="4"/>
        <v>0.03265123535</v>
      </c>
      <c r="F163" s="1">
        <f t="shared" si="5"/>
        <v>-0.0653024707</v>
      </c>
      <c r="K163" s="2">
        <v>0.00161</v>
      </c>
      <c r="L163" s="2">
        <f t="shared" si="6"/>
        <v>0.000005184186562</v>
      </c>
      <c r="M163" s="2">
        <f t="shared" si="7"/>
        <v>0.006008472225</v>
      </c>
      <c r="N163" s="2">
        <f t="shared" si="8"/>
        <v>0.004868778006</v>
      </c>
      <c r="O163" s="2"/>
      <c r="P163" s="2"/>
      <c r="Q163" s="2"/>
      <c r="R163" s="4"/>
    </row>
    <row r="164" ht="14.25" customHeight="1">
      <c r="A164" s="1">
        <v>-72.0</v>
      </c>
      <c r="B164" s="1">
        <f t="shared" si="1"/>
        <v>-1.256</v>
      </c>
      <c r="C164" s="1">
        <f t="shared" si="2"/>
        <v>-0.04938764038</v>
      </c>
      <c r="D164" s="1">
        <f t="shared" si="3"/>
        <v>-0.03284278085</v>
      </c>
      <c r="E164" s="1">
        <f t="shared" si="4"/>
        <v>0.03284278085</v>
      </c>
      <c r="F164" s="1">
        <f t="shared" si="5"/>
        <v>-0.0656855617</v>
      </c>
      <c r="K164" s="2">
        <v>0.00162</v>
      </c>
      <c r="L164" s="2">
        <f t="shared" si="6"/>
        <v>0.000005248786225</v>
      </c>
      <c r="M164" s="2">
        <f t="shared" si="7"/>
        <v>0.006083343235</v>
      </c>
      <c r="N164" s="2">
        <f t="shared" si="8"/>
        <v>0.00489938315</v>
      </c>
      <c r="O164" s="2"/>
      <c r="P164" s="2"/>
      <c r="Q164" s="2"/>
      <c r="R164" s="4"/>
    </row>
    <row r="165" ht="14.25" customHeight="1">
      <c r="A165" s="1">
        <v>-73.0</v>
      </c>
      <c r="B165" s="1">
        <f t="shared" si="1"/>
        <v>-1.273444444</v>
      </c>
      <c r="C165" s="1">
        <f t="shared" si="2"/>
        <v>-0.04966065002</v>
      </c>
      <c r="D165" s="1">
        <f t="shared" si="3"/>
        <v>-0.03302433226</v>
      </c>
      <c r="E165" s="1">
        <f t="shared" si="4"/>
        <v>0.03302433226</v>
      </c>
      <c r="F165" s="1">
        <f t="shared" si="5"/>
        <v>-0.06604866453</v>
      </c>
      <c r="K165" s="2">
        <v>0.00163</v>
      </c>
      <c r="L165" s="2">
        <f t="shared" si="6"/>
        <v>0.000005313785882</v>
      </c>
      <c r="M165" s="2">
        <f t="shared" si="7"/>
        <v>0.006158677837</v>
      </c>
      <c r="N165" s="2">
        <f t="shared" si="8"/>
        <v>0.004929995062</v>
      </c>
      <c r="O165" s="2"/>
      <c r="P165" s="2"/>
      <c r="Q165" s="2"/>
      <c r="R165" s="4"/>
    </row>
    <row r="166" ht="14.25" customHeight="1">
      <c r="A166" s="1">
        <v>-74.0</v>
      </c>
      <c r="B166" s="1">
        <f t="shared" si="1"/>
        <v>-1.290888889</v>
      </c>
      <c r="C166" s="1">
        <f t="shared" si="2"/>
        <v>-0.04991854788</v>
      </c>
      <c r="D166" s="1">
        <f t="shared" si="3"/>
        <v>-0.03319583434</v>
      </c>
      <c r="E166" s="1">
        <f t="shared" si="4"/>
        <v>0.03319583434</v>
      </c>
      <c r="F166" s="1">
        <f t="shared" si="5"/>
        <v>-0.06639166868</v>
      </c>
      <c r="K166" s="2">
        <v>0.00164</v>
      </c>
      <c r="L166" s="2">
        <f t="shared" si="6"/>
        <v>0.000005379185532</v>
      </c>
      <c r="M166" s="2">
        <f t="shared" si="7"/>
        <v>0.006234476032</v>
      </c>
      <c r="N166" s="2">
        <f t="shared" si="8"/>
        <v>0.004960613782</v>
      </c>
      <c r="O166" s="2"/>
      <c r="P166" s="2"/>
      <c r="Q166" s="2"/>
      <c r="R166" s="4"/>
    </row>
    <row r="167" ht="14.25" customHeight="1">
      <c r="A167" s="1">
        <v>-75.0</v>
      </c>
      <c r="B167" s="1">
        <f t="shared" si="1"/>
        <v>-1.308333333</v>
      </c>
      <c r="C167" s="1">
        <f t="shared" si="2"/>
        <v>-0.05016125548</v>
      </c>
      <c r="D167" s="1">
        <f t="shared" si="3"/>
        <v>-0.03335723489</v>
      </c>
      <c r="E167" s="1">
        <f t="shared" si="4"/>
        <v>0.03335723489</v>
      </c>
      <c r="F167" s="1">
        <f t="shared" si="5"/>
        <v>-0.06671446979</v>
      </c>
      <c r="K167" s="2">
        <v>0.00165</v>
      </c>
      <c r="L167" s="2">
        <f t="shared" si="6"/>
        <v>0.000005444985176</v>
      </c>
      <c r="M167" s="2">
        <f t="shared" si="7"/>
        <v>0.006310737819</v>
      </c>
      <c r="N167" s="2">
        <f t="shared" si="8"/>
        <v>0.004991239352</v>
      </c>
      <c r="O167" s="2"/>
      <c r="P167" s="2"/>
      <c r="Q167" s="2"/>
      <c r="R167" s="4"/>
    </row>
    <row r="168" ht="14.25" customHeight="1">
      <c r="A168" s="1">
        <v>-76.0</v>
      </c>
      <c r="B168" s="1">
        <f t="shared" si="1"/>
        <v>-1.325777778</v>
      </c>
      <c r="C168" s="1">
        <f t="shared" si="2"/>
        <v>-0.05038869896</v>
      </c>
      <c r="D168" s="1">
        <f t="shared" si="3"/>
        <v>-0.03350848481</v>
      </c>
      <c r="E168" s="1">
        <f t="shared" si="4"/>
        <v>0.03350848481</v>
      </c>
      <c r="F168" s="1">
        <f t="shared" si="5"/>
        <v>-0.06701696962</v>
      </c>
      <c r="K168" s="2">
        <v>0.00166</v>
      </c>
      <c r="L168" s="2">
        <f t="shared" si="6"/>
        <v>0.000005511184813</v>
      </c>
      <c r="M168" s="2">
        <f t="shared" si="7"/>
        <v>0.006387463199</v>
      </c>
      <c r="N168" s="2">
        <f t="shared" si="8"/>
        <v>0.005021871815</v>
      </c>
      <c r="O168" s="2"/>
      <c r="P168" s="2"/>
      <c r="Q168" s="2"/>
      <c r="R168" s="4"/>
    </row>
    <row r="169" ht="14.25" customHeight="1">
      <c r="A169" s="1">
        <v>-77.0</v>
      </c>
      <c r="B169" s="1">
        <f t="shared" si="1"/>
        <v>-1.343222222</v>
      </c>
      <c r="C169" s="1">
        <f t="shared" si="2"/>
        <v>-0.05060080912</v>
      </c>
      <c r="D169" s="1">
        <f t="shared" si="3"/>
        <v>-0.03364953806</v>
      </c>
      <c r="E169" s="1">
        <f t="shared" si="4"/>
        <v>0.03364953806</v>
      </c>
      <c r="F169" s="1">
        <f t="shared" si="5"/>
        <v>-0.06729907613</v>
      </c>
      <c r="K169" s="2">
        <v>0.00167</v>
      </c>
      <c r="L169" s="2">
        <f t="shared" si="6"/>
        <v>0.000005577784444</v>
      </c>
      <c r="M169" s="2">
        <f t="shared" si="7"/>
        <v>0.006464652171</v>
      </c>
      <c r="N169" s="2">
        <f t="shared" si="8"/>
        <v>0.005052511211</v>
      </c>
      <c r="O169" s="2"/>
      <c r="P169" s="2"/>
      <c r="Q169" s="2"/>
      <c r="R169" s="4"/>
    </row>
    <row r="170" ht="14.25" customHeight="1">
      <c r="A170" s="1">
        <v>-78.0</v>
      </c>
      <c r="B170" s="1">
        <f t="shared" si="1"/>
        <v>-1.360666667</v>
      </c>
      <c r="C170" s="1">
        <f t="shared" si="2"/>
        <v>-0.0507975214</v>
      </c>
      <c r="D170" s="1">
        <f t="shared" si="3"/>
        <v>-0.03378035173</v>
      </c>
      <c r="E170" s="1">
        <f t="shared" si="4"/>
        <v>0.03378035173</v>
      </c>
      <c r="F170" s="1">
        <f t="shared" si="5"/>
        <v>-0.06756070346</v>
      </c>
      <c r="K170" s="2">
        <v>0.00168</v>
      </c>
      <c r="L170" s="2">
        <f t="shared" si="6"/>
        <v>0.000005644784068</v>
      </c>
      <c r="M170" s="2">
        <f t="shared" si="7"/>
        <v>0.006542304735</v>
      </c>
      <c r="N170" s="2">
        <f t="shared" si="8"/>
        <v>0.005083157583</v>
      </c>
      <c r="O170" s="2"/>
      <c r="P170" s="2"/>
      <c r="Q170" s="2"/>
      <c r="R170" s="4"/>
    </row>
    <row r="171" ht="14.25" customHeight="1">
      <c r="A171" s="1">
        <v>-79.0</v>
      </c>
      <c r="B171" s="1">
        <f t="shared" si="1"/>
        <v>-1.378111111</v>
      </c>
      <c r="C171" s="1">
        <f t="shared" si="2"/>
        <v>-0.05097877595</v>
      </c>
      <c r="D171" s="1">
        <f t="shared" si="3"/>
        <v>-0.03390088601</v>
      </c>
      <c r="E171" s="1">
        <f t="shared" si="4"/>
        <v>0.03390088601</v>
      </c>
      <c r="F171" s="1">
        <f t="shared" si="5"/>
        <v>-0.06780177201</v>
      </c>
      <c r="K171" s="2">
        <v>0.00169</v>
      </c>
      <c r="L171" s="2">
        <f t="shared" si="6"/>
        <v>0.000005712183685</v>
      </c>
      <c r="M171" s="2">
        <f t="shared" si="7"/>
        <v>0.006620420891</v>
      </c>
      <c r="N171" s="2">
        <f t="shared" si="8"/>
        <v>0.005113810973</v>
      </c>
      <c r="O171" s="2"/>
      <c r="P171" s="2"/>
      <c r="Q171" s="2"/>
      <c r="R171" s="4"/>
    </row>
    <row r="172" ht="14.25" customHeight="1">
      <c r="A172" s="1">
        <v>-80.0</v>
      </c>
      <c r="B172" s="1">
        <f t="shared" si="1"/>
        <v>-1.395555556</v>
      </c>
      <c r="C172" s="1">
        <f t="shared" si="2"/>
        <v>-0.05114451761</v>
      </c>
      <c r="D172" s="1">
        <f t="shared" si="3"/>
        <v>-0.03401110421</v>
      </c>
      <c r="E172" s="1">
        <f t="shared" si="4"/>
        <v>0.03401110421</v>
      </c>
      <c r="F172" s="1">
        <f t="shared" si="5"/>
        <v>-0.06802220842</v>
      </c>
      <c r="K172" s="2">
        <v>0.0017</v>
      </c>
      <c r="L172" s="2">
        <f t="shared" si="6"/>
        <v>0.000005779983296</v>
      </c>
      <c r="M172" s="2">
        <f t="shared" si="7"/>
        <v>0.00669900064</v>
      </c>
      <c r="N172" s="2">
        <f t="shared" si="8"/>
        <v>0.005144471422</v>
      </c>
      <c r="O172" s="2"/>
      <c r="P172" s="2"/>
      <c r="Q172" s="2"/>
      <c r="R172" s="4"/>
    </row>
    <row r="173" ht="14.25" customHeight="1">
      <c r="A173" s="1">
        <v>-81.0</v>
      </c>
      <c r="B173" s="1">
        <f t="shared" si="1"/>
        <v>-1.413</v>
      </c>
      <c r="C173" s="1">
        <f t="shared" si="2"/>
        <v>-0.05129469595</v>
      </c>
      <c r="D173" s="1">
        <f t="shared" si="3"/>
        <v>-0.03411097281</v>
      </c>
      <c r="E173" s="1">
        <f t="shared" si="4"/>
        <v>0.03411097281</v>
      </c>
      <c r="F173" s="1">
        <f t="shared" si="5"/>
        <v>-0.06822194561</v>
      </c>
      <c r="K173" s="2">
        <v>0.00171</v>
      </c>
      <c r="L173" s="2">
        <f t="shared" si="6"/>
        <v>0.0000058481829</v>
      </c>
      <c r="M173" s="2">
        <f t="shared" si="7"/>
        <v>0.006778043981</v>
      </c>
      <c r="N173" s="2">
        <f t="shared" si="8"/>
        <v>0.005175138972</v>
      </c>
      <c r="O173" s="2"/>
      <c r="P173" s="2"/>
      <c r="Q173" s="2"/>
      <c r="R173" s="4"/>
    </row>
    <row r="174" ht="14.25" customHeight="1">
      <c r="A174" s="1">
        <v>-82.0</v>
      </c>
      <c r="B174" s="1">
        <f t="shared" si="1"/>
        <v>-1.430444444</v>
      </c>
      <c r="C174" s="1">
        <f t="shared" si="2"/>
        <v>-0.05142926526</v>
      </c>
      <c r="D174" s="1">
        <f t="shared" si="3"/>
        <v>-0.0342004614</v>
      </c>
      <c r="E174" s="1">
        <f t="shared" si="4"/>
        <v>0.0342004614</v>
      </c>
      <c r="F174" s="1">
        <f t="shared" si="5"/>
        <v>-0.0684009228</v>
      </c>
      <c r="K174" s="2">
        <v>0.00172</v>
      </c>
      <c r="L174" s="2">
        <f t="shared" si="6"/>
        <v>0.000005916782496</v>
      </c>
      <c r="M174" s="2">
        <f t="shared" si="7"/>
        <v>0.006857550913</v>
      </c>
      <c r="N174" s="2">
        <f t="shared" si="8"/>
        <v>0.005205813665</v>
      </c>
      <c r="O174" s="2"/>
      <c r="P174" s="2"/>
      <c r="Q174" s="2"/>
      <c r="R174" s="4"/>
    </row>
    <row r="175" ht="14.25" customHeight="1">
      <c r="A175" s="1">
        <v>-83.0</v>
      </c>
      <c r="B175" s="1">
        <f t="shared" si="1"/>
        <v>-1.447888889</v>
      </c>
      <c r="C175" s="1">
        <f t="shared" si="2"/>
        <v>-0.0515481846</v>
      </c>
      <c r="D175" s="1">
        <f t="shared" si="3"/>
        <v>-0.03427954276</v>
      </c>
      <c r="E175" s="1">
        <f t="shared" si="4"/>
        <v>0.03427954276</v>
      </c>
      <c r="F175" s="1">
        <f t="shared" si="5"/>
        <v>-0.06855908552</v>
      </c>
      <c r="K175" s="2">
        <v>0.00173</v>
      </c>
      <c r="L175" s="2">
        <f t="shared" si="6"/>
        <v>0.000005985782085</v>
      </c>
      <c r="M175" s="2">
        <f t="shared" si="7"/>
        <v>0.006937521437</v>
      </c>
      <c r="N175" s="2">
        <f t="shared" si="8"/>
        <v>0.005236495542</v>
      </c>
      <c r="O175" s="2"/>
      <c r="P175" s="2"/>
      <c r="Q175" s="2"/>
      <c r="R175" s="4"/>
    </row>
    <row r="176" ht="14.25" customHeight="1">
      <c r="A176" s="1">
        <v>-84.0</v>
      </c>
      <c r="B176" s="1">
        <f t="shared" si="1"/>
        <v>-1.465333333</v>
      </c>
      <c r="C176" s="1">
        <f t="shared" si="2"/>
        <v>-0.05165141778</v>
      </c>
      <c r="D176" s="1">
        <f t="shared" si="3"/>
        <v>-0.03434819283</v>
      </c>
      <c r="E176" s="1">
        <f t="shared" si="4"/>
        <v>0.03434819283</v>
      </c>
      <c r="F176" s="1">
        <f t="shared" si="5"/>
        <v>-0.06869638565</v>
      </c>
      <c r="K176" s="2">
        <v>0.00174</v>
      </c>
      <c r="L176" s="2">
        <f t="shared" si="6"/>
        <v>0.000006055181667</v>
      </c>
      <c r="M176" s="2">
        <f t="shared" si="7"/>
        <v>0.007017955553</v>
      </c>
      <c r="N176" s="2">
        <f t="shared" si="8"/>
        <v>0.005267184646</v>
      </c>
      <c r="O176" s="2"/>
      <c r="P176" s="2"/>
      <c r="Q176" s="2"/>
      <c r="R176" s="4"/>
    </row>
    <row r="177" ht="14.25" customHeight="1">
      <c r="A177" s="1">
        <v>-85.0</v>
      </c>
      <c r="B177" s="1">
        <f t="shared" si="1"/>
        <v>-1.482777778</v>
      </c>
      <c r="C177" s="1">
        <f t="shared" si="2"/>
        <v>-0.05173893339</v>
      </c>
      <c r="D177" s="1">
        <f t="shared" si="3"/>
        <v>-0.0344063907</v>
      </c>
      <c r="E177" s="1">
        <f t="shared" si="4"/>
        <v>0.0344063907</v>
      </c>
      <c r="F177" s="1">
        <f t="shared" si="5"/>
        <v>-0.06881278141</v>
      </c>
      <c r="K177" s="2">
        <v>0.00175</v>
      </c>
      <c r="L177" s="2">
        <f t="shared" si="6"/>
        <v>0.000006124981242</v>
      </c>
      <c r="M177" s="2">
        <f t="shared" si="7"/>
        <v>0.00709885326</v>
      </c>
      <c r="N177" s="2">
        <f t="shared" si="8"/>
        <v>0.005297881018</v>
      </c>
      <c r="O177" s="2"/>
      <c r="P177" s="2"/>
      <c r="Q177" s="2"/>
      <c r="R177" s="4"/>
    </row>
    <row r="178" ht="14.25" customHeight="1">
      <c r="A178" s="1">
        <v>-86.0</v>
      </c>
      <c r="B178" s="1">
        <f t="shared" si="1"/>
        <v>-1.500222222</v>
      </c>
      <c r="C178" s="1">
        <f t="shared" si="2"/>
        <v>-0.05181070479</v>
      </c>
      <c r="D178" s="1">
        <f t="shared" si="3"/>
        <v>-0.03445411868</v>
      </c>
      <c r="E178" s="1">
        <f t="shared" si="4"/>
        <v>0.03445411868</v>
      </c>
      <c r="F178" s="1">
        <f t="shared" si="5"/>
        <v>-0.06890823737</v>
      </c>
      <c r="K178" s="2">
        <v>0.00176</v>
      </c>
      <c r="L178" s="2">
        <f t="shared" si="6"/>
        <v>0.00000619518081</v>
      </c>
      <c r="M178" s="2">
        <f t="shared" si="7"/>
        <v>0.007180214559</v>
      </c>
      <c r="N178" s="2">
        <f t="shared" si="8"/>
        <v>0.005328584699</v>
      </c>
      <c r="O178" s="2"/>
      <c r="P178" s="2"/>
      <c r="Q178" s="2"/>
      <c r="R178" s="4"/>
    </row>
    <row r="179" ht="14.25" customHeight="1">
      <c r="A179" s="1">
        <v>-87.0</v>
      </c>
      <c r="B179" s="1">
        <f t="shared" si="1"/>
        <v>-1.517666667</v>
      </c>
      <c r="C179" s="1">
        <f t="shared" si="2"/>
        <v>-0.05186671014</v>
      </c>
      <c r="D179" s="1">
        <f t="shared" si="3"/>
        <v>-0.03449136225</v>
      </c>
      <c r="E179" s="1">
        <f t="shared" si="4"/>
        <v>0.03449136225</v>
      </c>
      <c r="F179" s="1">
        <f t="shared" si="5"/>
        <v>-0.06898272449</v>
      </c>
      <c r="K179" s="2">
        <v>0.00177</v>
      </c>
      <c r="L179" s="2">
        <f t="shared" si="6"/>
        <v>0.00000626578037</v>
      </c>
      <c r="M179" s="2">
        <f t="shared" si="7"/>
        <v>0.007262039449</v>
      </c>
      <c r="N179" s="2">
        <f t="shared" si="8"/>
        <v>0.005359295733</v>
      </c>
      <c r="O179" s="2"/>
      <c r="P179" s="2"/>
      <c r="Q179" s="2"/>
      <c r="R179" s="4"/>
    </row>
    <row r="180" ht="14.25" customHeight="1">
      <c r="A180" s="1">
        <v>-88.0</v>
      </c>
      <c r="B180" s="1">
        <f t="shared" si="1"/>
        <v>-1.535111111</v>
      </c>
      <c r="C180" s="1">
        <f t="shared" si="2"/>
        <v>-0.05190693241</v>
      </c>
      <c r="D180" s="1">
        <f t="shared" si="3"/>
        <v>-0.03451811005</v>
      </c>
      <c r="E180" s="1">
        <f t="shared" si="4"/>
        <v>0.03451811005</v>
      </c>
      <c r="F180" s="1">
        <f t="shared" si="5"/>
        <v>-0.06903622011</v>
      </c>
      <c r="K180" s="2">
        <v>0.00178</v>
      </c>
      <c r="L180" s="2">
        <f t="shared" si="6"/>
        <v>0.000006336779923</v>
      </c>
      <c r="M180" s="2">
        <f t="shared" si="7"/>
        <v>0.00734432793</v>
      </c>
      <c r="N180" s="2">
        <f t="shared" si="8"/>
        <v>0.005390014159</v>
      </c>
      <c r="O180" s="2"/>
      <c r="P180" s="2"/>
      <c r="Q180" s="2"/>
      <c r="R180" s="4"/>
    </row>
    <row r="181" ht="14.25" customHeight="1">
      <c r="A181" s="1">
        <v>-89.0</v>
      </c>
      <c r="B181" s="1">
        <f t="shared" si="1"/>
        <v>-1.552555556</v>
      </c>
      <c r="C181" s="1">
        <f t="shared" si="2"/>
        <v>-0.05193135935</v>
      </c>
      <c r="D181" s="1">
        <f t="shared" si="3"/>
        <v>-0.03453435397</v>
      </c>
      <c r="E181" s="1">
        <f t="shared" si="4"/>
        <v>0.03453435397</v>
      </c>
      <c r="F181" s="1">
        <f t="shared" si="5"/>
        <v>-0.06906870794</v>
      </c>
      <c r="K181" s="2">
        <v>0.00179</v>
      </c>
      <c r="L181" s="2">
        <f t="shared" si="6"/>
        <v>0.000006408179468</v>
      </c>
      <c r="M181" s="2">
        <f t="shared" si="7"/>
        <v>0.007427080003</v>
      </c>
      <c r="N181" s="2">
        <f t="shared" si="8"/>
        <v>0.005420740021</v>
      </c>
      <c r="O181" s="2"/>
      <c r="P181" s="2"/>
      <c r="Q181" s="2"/>
      <c r="R181" s="4"/>
    </row>
    <row r="182" ht="14.25" customHeight="1">
      <c r="A182" s="1">
        <v>-90.0</v>
      </c>
      <c r="B182" s="1">
        <f t="shared" si="1"/>
        <v>-1.57</v>
      </c>
      <c r="C182" s="1">
        <f t="shared" si="2"/>
        <v>-0.05193998353</v>
      </c>
      <c r="D182" s="1">
        <f t="shared" si="3"/>
        <v>-0.03454008905</v>
      </c>
      <c r="E182" s="1">
        <f t="shared" si="4"/>
        <v>0.03454008905</v>
      </c>
      <c r="F182" s="1">
        <f t="shared" si="5"/>
        <v>-0.0690801781</v>
      </c>
      <c r="K182" s="2">
        <v>0.0018</v>
      </c>
      <c r="L182" s="2">
        <f t="shared" si="6"/>
        <v>0.000006479979005</v>
      </c>
      <c r="M182" s="2">
        <f t="shared" si="7"/>
        <v>0.007510295667</v>
      </c>
      <c r="N182" s="2">
        <f t="shared" si="8"/>
        <v>0.00545147336</v>
      </c>
      <c r="O182" s="2"/>
      <c r="P182" s="2"/>
      <c r="Q182" s="2"/>
      <c r="R182" s="4"/>
    </row>
    <row r="183" ht="14.25" customHeight="1">
      <c r="K183" s="2">
        <v>0.00181</v>
      </c>
      <c r="L183" s="2">
        <f t="shared" si="6"/>
        <v>0.000006552178534</v>
      </c>
      <c r="M183" s="2">
        <f t="shared" si="7"/>
        <v>0.007593974921</v>
      </c>
      <c r="N183" s="2">
        <f t="shared" si="8"/>
        <v>0.005482214217</v>
      </c>
      <c r="O183" s="2"/>
      <c r="P183" s="2"/>
      <c r="Q183" s="2"/>
      <c r="R183" s="4"/>
    </row>
    <row r="184" ht="14.25" customHeight="1">
      <c r="K184" s="2">
        <v>0.00182</v>
      </c>
      <c r="L184" s="2">
        <f t="shared" si="6"/>
        <v>0.000006624778056</v>
      </c>
      <c r="M184" s="2">
        <f t="shared" si="7"/>
        <v>0.007678117767</v>
      </c>
      <c r="N184" s="2">
        <f t="shared" si="8"/>
        <v>0.005512962635</v>
      </c>
      <c r="O184" s="2"/>
      <c r="P184" s="2"/>
      <c r="Q184" s="2"/>
      <c r="R184" s="4"/>
    </row>
    <row r="185" ht="14.25" customHeight="1">
      <c r="K185" s="2">
        <v>0.00183</v>
      </c>
      <c r="L185" s="2">
        <f t="shared" si="6"/>
        <v>0.00000669777757</v>
      </c>
      <c r="M185" s="2">
        <f t="shared" si="7"/>
        <v>0.007762724204</v>
      </c>
      <c r="N185" s="2">
        <f t="shared" si="8"/>
        <v>0.005543718655</v>
      </c>
      <c r="O185" s="2"/>
      <c r="P185" s="2"/>
      <c r="Q185" s="2"/>
      <c r="R185" s="4"/>
    </row>
    <row r="186" ht="14.25" customHeight="1">
      <c r="K186" s="2">
        <v>0.00184</v>
      </c>
      <c r="L186" s="2">
        <f t="shared" si="6"/>
        <v>0.000006771177076</v>
      </c>
      <c r="M186" s="2">
        <f t="shared" si="7"/>
        <v>0.007847794231</v>
      </c>
      <c r="N186" s="2">
        <f t="shared" si="8"/>
        <v>0.00557448232</v>
      </c>
      <c r="O186" s="2"/>
      <c r="P186" s="2"/>
      <c r="Q186" s="2"/>
      <c r="R186" s="4"/>
    </row>
    <row r="187" ht="14.25" customHeight="1">
      <c r="K187" s="2">
        <v>0.00185</v>
      </c>
      <c r="L187" s="2">
        <f t="shared" si="6"/>
        <v>0.000006844976573</v>
      </c>
      <c r="M187" s="2">
        <f t="shared" si="7"/>
        <v>0.007933327848</v>
      </c>
      <c r="N187" s="2">
        <f t="shared" si="8"/>
        <v>0.00560525367</v>
      </c>
      <c r="O187" s="2"/>
      <c r="P187" s="2"/>
      <c r="Q187" s="2"/>
      <c r="R187" s="4"/>
    </row>
    <row r="188" ht="14.25" customHeight="1">
      <c r="K188" s="2">
        <v>0.00186</v>
      </c>
      <c r="L188" s="2">
        <f t="shared" si="6"/>
        <v>0.000006919176063</v>
      </c>
      <c r="M188" s="2">
        <f t="shared" si="7"/>
        <v>0.008019325056</v>
      </c>
      <c r="N188" s="2">
        <f t="shared" si="8"/>
        <v>0.005636032747</v>
      </c>
      <c r="O188" s="2"/>
      <c r="P188" s="2"/>
      <c r="Q188" s="2"/>
      <c r="R188" s="4"/>
    </row>
    <row r="189" ht="14.25" customHeight="1">
      <c r="K189" s="2">
        <v>0.00187</v>
      </c>
      <c r="L189" s="2">
        <f t="shared" si="6"/>
        <v>0.000006993775544</v>
      </c>
      <c r="M189" s="2">
        <f t="shared" si="7"/>
        <v>0.008105785855</v>
      </c>
      <c r="N189" s="2">
        <f t="shared" si="8"/>
        <v>0.005666819594</v>
      </c>
      <c r="O189" s="2"/>
      <c r="P189" s="2"/>
      <c r="Q189" s="2"/>
      <c r="R189" s="4"/>
    </row>
    <row r="190" ht="14.25" customHeight="1">
      <c r="K190" s="2">
        <v>0.00188</v>
      </c>
      <c r="L190" s="2">
        <f t="shared" si="6"/>
        <v>0.000007068775016</v>
      </c>
      <c r="M190" s="2">
        <f t="shared" si="7"/>
        <v>0.008192710244</v>
      </c>
      <c r="N190" s="2">
        <f t="shared" si="8"/>
        <v>0.005697614252</v>
      </c>
      <c r="O190" s="2"/>
      <c r="P190" s="2"/>
      <c r="Q190" s="2"/>
      <c r="R190" s="4"/>
    </row>
    <row r="191" ht="14.25" customHeight="1">
      <c r="K191" s="2">
        <v>0.00189</v>
      </c>
      <c r="L191" s="2">
        <f t="shared" si="6"/>
        <v>0.00000714417448</v>
      </c>
      <c r="M191" s="2">
        <f t="shared" si="7"/>
        <v>0.008280098223</v>
      </c>
      <c r="N191" s="2">
        <f t="shared" si="8"/>
        <v>0.005728416762</v>
      </c>
      <c r="O191" s="2"/>
      <c r="P191" s="2"/>
      <c r="Q191" s="2"/>
      <c r="R191" s="4"/>
    </row>
    <row r="192" ht="14.25" customHeight="1">
      <c r="K192" s="2">
        <v>0.0019</v>
      </c>
      <c r="L192" s="2">
        <f t="shared" si="6"/>
        <v>0.000007219973936</v>
      </c>
      <c r="M192" s="2">
        <f t="shared" si="7"/>
        <v>0.008367949792</v>
      </c>
      <c r="N192" s="2">
        <f t="shared" si="8"/>
        <v>0.005759227168</v>
      </c>
      <c r="O192" s="2"/>
      <c r="P192" s="2"/>
      <c r="Q192" s="2"/>
      <c r="R192" s="4"/>
    </row>
    <row r="193" ht="14.25" customHeight="1">
      <c r="K193" s="2">
        <v>0.00191</v>
      </c>
      <c r="L193" s="2">
        <f t="shared" si="6"/>
        <v>0.000007296173383</v>
      </c>
      <c r="M193" s="2">
        <f t="shared" si="7"/>
        <v>0.008456264951</v>
      </c>
      <c r="N193" s="2">
        <f t="shared" si="8"/>
        <v>0.00579004551</v>
      </c>
      <c r="O193" s="2"/>
      <c r="P193" s="2"/>
      <c r="Q193" s="2"/>
      <c r="R193" s="4"/>
    </row>
    <row r="194" ht="14.25" customHeight="1">
      <c r="K194" s="2">
        <v>0.00192</v>
      </c>
      <c r="L194" s="2">
        <f t="shared" si="6"/>
        <v>0.000007372772821</v>
      </c>
      <c r="M194" s="2">
        <f t="shared" si="7"/>
        <v>0.0085450437</v>
      </c>
      <c r="N194" s="2">
        <f t="shared" si="8"/>
        <v>0.005820871829</v>
      </c>
      <c r="O194" s="2"/>
      <c r="P194" s="2"/>
      <c r="Q194" s="2"/>
      <c r="R194" s="4"/>
    </row>
    <row r="195" ht="14.25" customHeight="1">
      <c r="K195" s="2">
        <v>0.00193</v>
      </c>
      <c r="L195" s="2">
        <f t="shared" si="6"/>
        <v>0.00000744977225</v>
      </c>
      <c r="M195" s="2">
        <f t="shared" si="7"/>
        <v>0.008634286038</v>
      </c>
      <c r="N195" s="2">
        <f t="shared" si="8"/>
        <v>0.005851706169</v>
      </c>
      <c r="O195" s="2"/>
      <c r="P195" s="2"/>
      <c r="Q195" s="2"/>
      <c r="R195" s="4"/>
    </row>
    <row r="196" ht="14.25" customHeight="1">
      <c r="K196" s="2">
        <v>0.00194</v>
      </c>
      <c r="L196" s="2">
        <f t="shared" si="6"/>
        <v>0.000007527171671</v>
      </c>
      <c r="M196" s="2">
        <f t="shared" si="7"/>
        <v>0.008723991967</v>
      </c>
      <c r="N196" s="2">
        <f t="shared" si="8"/>
        <v>0.005882548571</v>
      </c>
      <c r="O196" s="2"/>
      <c r="P196" s="2"/>
      <c r="Q196" s="2"/>
      <c r="R196" s="4"/>
    </row>
    <row r="197" ht="14.25" customHeight="1">
      <c r="K197" s="2">
        <v>0.00195</v>
      </c>
      <c r="L197" s="2">
        <f t="shared" si="6"/>
        <v>0.000007604971082</v>
      </c>
      <c r="M197" s="2">
        <f t="shared" si="7"/>
        <v>0.008814161484</v>
      </c>
      <c r="N197" s="2">
        <f t="shared" si="8"/>
        <v>0.005913399076</v>
      </c>
      <c r="O197" s="2"/>
      <c r="P197" s="2"/>
      <c r="Q197" s="2"/>
      <c r="R197" s="4"/>
    </row>
    <row r="198" ht="14.25" customHeight="1">
      <c r="K198" s="2">
        <v>0.00196</v>
      </c>
      <c r="L198" s="2">
        <f t="shared" si="6"/>
        <v>0.000007683170484</v>
      </c>
      <c r="M198" s="2">
        <f t="shared" si="7"/>
        <v>0.008904794592</v>
      </c>
      <c r="N198" s="2">
        <f t="shared" si="8"/>
        <v>0.005944257726</v>
      </c>
      <c r="O198" s="2"/>
      <c r="P198" s="2"/>
      <c r="Q198" s="2"/>
      <c r="R198" s="4"/>
    </row>
    <row r="199" ht="14.25" customHeight="1">
      <c r="K199" s="2">
        <v>0.00197</v>
      </c>
      <c r="L199" s="2">
        <f t="shared" si="6"/>
        <v>0.000007761769877</v>
      </c>
      <c r="M199" s="2">
        <f t="shared" si="7"/>
        <v>0.008995891288</v>
      </c>
      <c r="N199" s="2">
        <f t="shared" si="8"/>
        <v>0.005975124563</v>
      </c>
      <c r="O199" s="2"/>
      <c r="P199" s="2"/>
      <c r="Q199" s="2"/>
      <c r="R199" s="4"/>
    </row>
    <row r="200" ht="14.25" customHeight="1">
      <c r="K200" s="2">
        <v>0.00198</v>
      </c>
      <c r="L200" s="2">
        <f t="shared" si="6"/>
        <v>0.000007840769261</v>
      </c>
      <c r="M200" s="2">
        <f t="shared" si="7"/>
        <v>0.009087451574</v>
      </c>
      <c r="N200" s="2">
        <f t="shared" si="8"/>
        <v>0.006005999629</v>
      </c>
      <c r="O200" s="2"/>
      <c r="P200" s="2"/>
      <c r="Q200" s="2"/>
      <c r="R200" s="4"/>
    </row>
    <row r="201" ht="14.25" customHeight="1">
      <c r="K201" s="2">
        <v>0.00199</v>
      </c>
      <c r="L201" s="2">
        <f t="shared" si="6"/>
        <v>0.000007920168635</v>
      </c>
      <c r="M201" s="2">
        <f t="shared" si="7"/>
        <v>0.009179475448</v>
      </c>
      <c r="N201" s="2">
        <f t="shared" si="8"/>
        <v>0.006036882965</v>
      </c>
      <c r="O201" s="2"/>
      <c r="P201" s="2"/>
      <c r="Q201" s="2"/>
      <c r="R201" s="4"/>
    </row>
    <row r="202" ht="14.25" customHeight="1">
      <c r="K202" s="2">
        <v>0.002</v>
      </c>
      <c r="L202" s="2">
        <f t="shared" si="6"/>
        <v>0.000007999968</v>
      </c>
      <c r="M202" s="2">
        <f t="shared" si="7"/>
        <v>0.009271962912</v>
      </c>
      <c r="N202" s="2">
        <f t="shared" si="8"/>
        <v>0.006067774614</v>
      </c>
      <c r="O202" s="2"/>
      <c r="P202" s="2"/>
      <c r="Q202" s="2"/>
      <c r="R202" s="4"/>
    </row>
    <row r="203" ht="14.25" customHeight="1">
      <c r="K203" s="2">
        <v>0.00201</v>
      </c>
      <c r="L203" s="2">
        <f t="shared" si="6"/>
        <v>0.000008080167355</v>
      </c>
      <c r="M203" s="2">
        <f t="shared" si="7"/>
        <v>0.009364913965</v>
      </c>
      <c r="N203" s="2">
        <f t="shared" si="8"/>
        <v>0.006098674617</v>
      </c>
      <c r="O203" s="2"/>
      <c r="P203" s="2"/>
      <c r="Q203" s="2"/>
      <c r="R203" s="4"/>
    </row>
    <row r="204" ht="14.25" customHeight="1">
      <c r="K204" s="2">
        <v>0.00202</v>
      </c>
      <c r="L204" s="2">
        <f t="shared" si="6"/>
        <v>0.000008160766701</v>
      </c>
      <c r="M204" s="2">
        <f t="shared" si="7"/>
        <v>0.009458328606</v>
      </c>
      <c r="N204" s="2">
        <f t="shared" si="8"/>
        <v>0.006129583015</v>
      </c>
      <c r="O204" s="2"/>
      <c r="P204" s="2"/>
      <c r="Q204" s="2"/>
      <c r="R204" s="4"/>
    </row>
    <row r="205" ht="14.25" customHeight="1">
      <c r="K205" s="2">
        <v>0.00203</v>
      </c>
      <c r="L205" s="2">
        <f t="shared" si="6"/>
        <v>0.000008241766037</v>
      </c>
      <c r="M205" s="2">
        <f t="shared" si="7"/>
        <v>0.009552206837</v>
      </c>
      <c r="N205" s="2">
        <f t="shared" si="8"/>
        <v>0.006160499851</v>
      </c>
      <c r="O205" s="2"/>
      <c r="P205" s="2"/>
      <c r="Q205" s="2"/>
      <c r="R205" s="4"/>
    </row>
    <row r="206" ht="14.25" customHeight="1">
      <c r="K206" s="2">
        <v>0.00204</v>
      </c>
      <c r="L206" s="2">
        <f t="shared" si="6"/>
        <v>0.000008323165362</v>
      </c>
      <c r="M206" s="2">
        <f t="shared" si="7"/>
        <v>0.009646548655</v>
      </c>
      <c r="N206" s="2">
        <f t="shared" si="8"/>
        <v>0.006191425167</v>
      </c>
      <c r="O206" s="2"/>
      <c r="P206" s="2"/>
      <c r="Q206" s="2"/>
      <c r="R206" s="4"/>
    </row>
    <row r="207" ht="14.25" customHeight="1">
      <c r="K207" s="2">
        <v>0.00205</v>
      </c>
      <c r="L207" s="2">
        <f t="shared" si="6"/>
        <v>0.000008404964678</v>
      </c>
      <c r="M207" s="2">
        <f t="shared" si="7"/>
        <v>0.009741354062</v>
      </c>
      <c r="N207" s="2">
        <f t="shared" si="8"/>
        <v>0.006222359003</v>
      </c>
      <c r="O207" s="2"/>
      <c r="P207" s="2"/>
      <c r="Q207" s="2"/>
      <c r="R207" s="4"/>
    </row>
    <row r="208" ht="14.25" customHeight="1">
      <c r="K208" s="2">
        <v>0.00206</v>
      </c>
      <c r="L208" s="2">
        <f t="shared" si="6"/>
        <v>0.000008487163984</v>
      </c>
      <c r="M208" s="2">
        <f t="shared" si="7"/>
        <v>0.009836623058</v>
      </c>
      <c r="N208" s="2">
        <f t="shared" si="8"/>
        <v>0.006253301403</v>
      </c>
      <c r="O208" s="2"/>
      <c r="P208" s="2"/>
      <c r="Q208" s="2"/>
      <c r="R208" s="4"/>
    </row>
    <row r="209" ht="14.25" customHeight="1">
      <c r="K209" s="2">
        <v>0.00207</v>
      </c>
      <c r="L209" s="2">
        <f t="shared" si="6"/>
        <v>0.000008569763279</v>
      </c>
      <c r="M209" s="2">
        <f t="shared" si="7"/>
        <v>0.009932355641</v>
      </c>
      <c r="N209" s="2">
        <f t="shared" si="8"/>
        <v>0.006284252407</v>
      </c>
      <c r="O209" s="2"/>
      <c r="P209" s="2"/>
      <c r="Q209" s="2"/>
      <c r="R209" s="4"/>
    </row>
    <row r="210" ht="14.25" customHeight="1">
      <c r="K210" s="2">
        <v>0.00208</v>
      </c>
      <c r="L210" s="2">
        <f t="shared" si="6"/>
        <v>0.000008652762565</v>
      </c>
      <c r="M210" s="2">
        <f t="shared" si="7"/>
        <v>0.01002855181</v>
      </c>
      <c r="N210" s="2">
        <f t="shared" si="8"/>
        <v>0.006315212057</v>
      </c>
      <c r="O210" s="2"/>
      <c r="P210" s="2"/>
      <c r="Q210" s="2"/>
      <c r="R210" s="4"/>
    </row>
    <row r="211" ht="14.25" customHeight="1">
      <c r="K211" s="2">
        <v>0.00209</v>
      </c>
      <c r="L211" s="2">
        <f t="shared" si="6"/>
        <v>0.00000873616184</v>
      </c>
      <c r="M211" s="2">
        <f t="shared" si="7"/>
        <v>0.01012521157</v>
      </c>
      <c r="N211" s="2">
        <f t="shared" si="8"/>
        <v>0.006346180396</v>
      </c>
      <c r="O211" s="2"/>
      <c r="P211" s="2"/>
      <c r="Q211" s="2"/>
      <c r="R211" s="4"/>
    </row>
    <row r="212" ht="14.25" customHeight="1">
      <c r="K212" s="2">
        <v>0.0021</v>
      </c>
      <c r="L212" s="2">
        <f t="shared" si="6"/>
        <v>0.000008819961104</v>
      </c>
      <c r="M212" s="2">
        <f t="shared" si="7"/>
        <v>0.01022233492</v>
      </c>
      <c r="N212" s="2">
        <f t="shared" si="8"/>
        <v>0.006377157465</v>
      </c>
      <c r="O212" s="2"/>
      <c r="P212" s="2"/>
      <c r="Q212" s="2"/>
      <c r="R212" s="4"/>
    </row>
    <row r="213" ht="14.25" customHeight="1">
      <c r="K213" s="2">
        <v>0.00211</v>
      </c>
      <c r="L213" s="2">
        <f t="shared" si="6"/>
        <v>0.000008904160358</v>
      </c>
      <c r="M213" s="2">
        <f t="shared" si="7"/>
        <v>0.01031992185</v>
      </c>
      <c r="N213" s="2">
        <f t="shared" si="8"/>
        <v>0.006408143305</v>
      </c>
      <c r="O213" s="2"/>
      <c r="P213" s="2"/>
      <c r="Q213" s="2"/>
      <c r="R213" s="4"/>
    </row>
    <row r="214" ht="14.25" customHeight="1">
      <c r="K214" s="2">
        <v>0.00212</v>
      </c>
      <c r="L214" s="2">
        <f t="shared" si="6"/>
        <v>0.000008988759601</v>
      </c>
      <c r="M214" s="2">
        <f t="shared" si="7"/>
        <v>0.01041797238</v>
      </c>
      <c r="N214" s="2">
        <f t="shared" si="8"/>
        <v>0.006439137959</v>
      </c>
      <c r="O214" s="2"/>
      <c r="P214" s="2"/>
      <c r="Q214" s="2"/>
      <c r="R214" s="4"/>
    </row>
    <row r="215" ht="14.25" customHeight="1">
      <c r="K215" s="2">
        <v>0.00213</v>
      </c>
      <c r="L215" s="2">
        <f t="shared" si="6"/>
        <v>0.000009073758833</v>
      </c>
      <c r="M215" s="2">
        <f t="shared" si="7"/>
        <v>0.01051648649</v>
      </c>
      <c r="N215" s="2">
        <f t="shared" si="8"/>
        <v>0.006470141468</v>
      </c>
      <c r="O215" s="2"/>
      <c r="P215" s="2"/>
      <c r="Q215" s="2"/>
      <c r="R215" s="4"/>
    </row>
    <row r="216" ht="14.25" customHeight="1">
      <c r="K216" s="2">
        <v>0.00214</v>
      </c>
      <c r="L216" s="2">
        <f t="shared" si="6"/>
        <v>0.000009159158055</v>
      </c>
      <c r="M216" s="2">
        <f t="shared" si="7"/>
        <v>0.01061546419</v>
      </c>
      <c r="N216" s="2">
        <f t="shared" si="8"/>
        <v>0.006501153874</v>
      </c>
      <c r="O216" s="2"/>
      <c r="P216" s="2"/>
      <c r="Q216" s="2"/>
      <c r="R216" s="4"/>
    </row>
    <row r="217" ht="14.25" customHeight="1">
      <c r="K217" s="2">
        <v>0.00215</v>
      </c>
      <c r="L217" s="2">
        <f t="shared" si="6"/>
        <v>0.000009244957265</v>
      </c>
      <c r="M217" s="2">
        <f t="shared" si="7"/>
        <v>0.01071490547</v>
      </c>
      <c r="N217" s="2">
        <f t="shared" si="8"/>
        <v>0.006532175219</v>
      </c>
      <c r="O217" s="2"/>
      <c r="P217" s="2"/>
      <c r="Q217" s="2"/>
      <c r="R217" s="4"/>
    </row>
    <row r="218" ht="14.25" customHeight="1">
      <c r="K218" s="2">
        <v>0.00216</v>
      </c>
      <c r="L218" s="2">
        <f t="shared" si="6"/>
        <v>0.000009331156465</v>
      </c>
      <c r="M218" s="2">
        <f t="shared" si="7"/>
        <v>0.01081481034</v>
      </c>
      <c r="N218" s="2">
        <f t="shared" si="8"/>
        <v>0.006563205545</v>
      </c>
      <c r="O218" s="2"/>
      <c r="P218" s="2"/>
      <c r="Q218" s="2"/>
      <c r="R218" s="4"/>
    </row>
    <row r="219" ht="14.25" customHeight="1">
      <c r="K219" s="2">
        <v>0.00217</v>
      </c>
      <c r="L219" s="2">
        <f t="shared" si="6"/>
        <v>0.000009417755653</v>
      </c>
      <c r="M219" s="2">
        <f t="shared" si="7"/>
        <v>0.0109151788</v>
      </c>
      <c r="N219" s="2">
        <f t="shared" si="8"/>
        <v>0.006594244893</v>
      </c>
      <c r="O219" s="2"/>
      <c r="P219" s="2"/>
      <c r="Q219" s="2"/>
      <c r="R219" s="4"/>
    </row>
    <row r="220" ht="14.25" customHeight="1">
      <c r="K220" s="2">
        <v>0.00218</v>
      </c>
      <c r="L220" s="2">
        <f t="shared" si="6"/>
        <v>0.00000950475483</v>
      </c>
      <c r="M220" s="2">
        <f t="shared" si="7"/>
        <v>0.01101601085</v>
      </c>
      <c r="N220" s="2">
        <f t="shared" si="8"/>
        <v>0.006625293305</v>
      </c>
      <c r="O220" s="2"/>
      <c r="P220" s="2"/>
      <c r="Q220" s="2"/>
      <c r="R220" s="4"/>
    </row>
    <row r="221" ht="14.25" customHeight="1">
      <c r="K221" s="2">
        <v>0.00219</v>
      </c>
      <c r="L221" s="2">
        <f t="shared" si="6"/>
        <v>0.000009592153995</v>
      </c>
      <c r="M221" s="2">
        <f t="shared" si="7"/>
        <v>0.01111730648</v>
      </c>
      <c r="N221" s="2">
        <f t="shared" si="8"/>
        <v>0.006656350822</v>
      </c>
      <c r="O221" s="2"/>
      <c r="P221" s="2"/>
      <c r="Q221" s="2"/>
      <c r="R221" s="4"/>
    </row>
    <row r="222" ht="14.25" customHeight="1">
      <c r="K222" s="2">
        <v>0.0022</v>
      </c>
      <c r="L222" s="2">
        <f t="shared" si="6"/>
        <v>0.000009679953149</v>
      </c>
      <c r="M222" s="2">
        <f t="shared" si="7"/>
        <v>0.0112190657</v>
      </c>
      <c r="N222" s="2">
        <f t="shared" si="8"/>
        <v>0.006687417488</v>
      </c>
      <c r="O222" s="2"/>
      <c r="P222" s="2"/>
      <c r="Q222" s="2"/>
      <c r="R222" s="4"/>
    </row>
    <row r="223" ht="14.25" customHeight="1">
      <c r="K223" s="2">
        <v>0.00221</v>
      </c>
      <c r="L223" s="2">
        <f t="shared" si="6"/>
        <v>0.000009768152291</v>
      </c>
      <c r="M223" s="2">
        <f t="shared" si="7"/>
        <v>0.01132128851</v>
      </c>
      <c r="N223" s="2">
        <f t="shared" si="8"/>
        <v>0.006718493342</v>
      </c>
      <c r="O223" s="2"/>
      <c r="P223" s="2"/>
      <c r="Q223" s="2"/>
      <c r="R223" s="4"/>
    </row>
    <row r="224" ht="14.25" customHeight="1">
      <c r="K224" s="2">
        <v>0.00222</v>
      </c>
      <c r="L224" s="2">
        <f t="shared" si="6"/>
        <v>0.000009856751422</v>
      </c>
      <c r="M224" s="2">
        <f t="shared" si="7"/>
        <v>0.0114239749</v>
      </c>
      <c r="N224" s="2">
        <f t="shared" si="8"/>
        <v>0.006749578428</v>
      </c>
      <c r="O224" s="2"/>
      <c r="P224" s="2"/>
      <c r="Q224" s="2"/>
      <c r="R224" s="4"/>
    </row>
    <row r="225" ht="14.25" customHeight="1">
      <c r="K225" s="2">
        <v>0.00223</v>
      </c>
      <c r="L225" s="2">
        <f t="shared" si="6"/>
        <v>0.000009945750541</v>
      </c>
      <c r="M225" s="2">
        <f t="shared" si="7"/>
        <v>0.01152712488</v>
      </c>
      <c r="N225" s="2">
        <f t="shared" si="8"/>
        <v>0.006780672787</v>
      </c>
      <c r="O225" s="2"/>
      <c r="P225" s="2"/>
      <c r="Q225" s="2"/>
      <c r="R225" s="4"/>
    </row>
    <row r="226" ht="14.25" customHeight="1">
      <c r="K226" s="2">
        <v>0.00224</v>
      </c>
      <c r="L226" s="2">
        <f t="shared" si="6"/>
        <v>0.00001003514965</v>
      </c>
      <c r="M226" s="2">
        <f t="shared" si="7"/>
        <v>0.01163073844</v>
      </c>
      <c r="N226" s="2">
        <f t="shared" si="8"/>
        <v>0.006811776461</v>
      </c>
      <c r="O226" s="2"/>
      <c r="P226" s="2"/>
      <c r="Q226" s="2"/>
      <c r="R226" s="4"/>
    </row>
    <row r="227" ht="14.25" customHeight="1">
      <c r="K227" s="2">
        <v>0.00225</v>
      </c>
      <c r="L227" s="2">
        <f t="shared" si="6"/>
        <v>0.00001012494874</v>
      </c>
      <c r="M227" s="2">
        <f t="shared" si="7"/>
        <v>0.01173481559</v>
      </c>
      <c r="N227" s="2">
        <f t="shared" si="8"/>
        <v>0.00684288949</v>
      </c>
      <c r="O227" s="2"/>
      <c r="P227" s="2"/>
      <c r="Q227" s="2"/>
      <c r="R227" s="4"/>
    </row>
    <row r="228" ht="14.25" customHeight="1">
      <c r="K228" s="2">
        <v>0.00226</v>
      </c>
      <c r="L228" s="2">
        <f t="shared" si="6"/>
        <v>0.00001021514783</v>
      </c>
      <c r="M228" s="2">
        <f t="shared" si="7"/>
        <v>0.01183935633</v>
      </c>
      <c r="N228" s="2">
        <f t="shared" si="8"/>
        <v>0.006874011919</v>
      </c>
      <c r="O228" s="2"/>
      <c r="P228" s="2"/>
      <c r="Q228" s="2"/>
      <c r="R228" s="4"/>
    </row>
    <row r="229" ht="14.25" customHeight="1">
      <c r="K229" s="2">
        <v>0.00227</v>
      </c>
      <c r="L229" s="2">
        <f t="shared" si="6"/>
        <v>0.0000103057469</v>
      </c>
      <c r="M229" s="2">
        <f t="shared" si="7"/>
        <v>0.01194436065</v>
      </c>
      <c r="N229" s="2">
        <f t="shared" si="8"/>
        <v>0.006905143787</v>
      </c>
      <c r="O229" s="2"/>
      <c r="P229" s="2"/>
      <c r="Q229" s="2"/>
      <c r="R229" s="4"/>
    </row>
    <row r="230" ht="14.25" customHeight="1">
      <c r="K230" s="2">
        <v>0.00228</v>
      </c>
      <c r="L230" s="2">
        <f t="shared" si="6"/>
        <v>0.00001039674595</v>
      </c>
      <c r="M230" s="2">
        <f t="shared" si="7"/>
        <v>0.01204982856</v>
      </c>
      <c r="N230" s="2">
        <f t="shared" si="8"/>
        <v>0.006936285136</v>
      </c>
      <c r="O230" s="2"/>
      <c r="P230" s="2"/>
      <c r="Q230" s="2"/>
      <c r="R230" s="4"/>
    </row>
    <row r="231" ht="14.25" customHeight="1">
      <c r="K231" s="2">
        <v>0.00229</v>
      </c>
      <c r="L231" s="2">
        <f t="shared" si="6"/>
        <v>0.000010488145</v>
      </c>
      <c r="M231" s="2">
        <f t="shared" si="7"/>
        <v>0.01215576005</v>
      </c>
      <c r="N231" s="2">
        <f t="shared" si="8"/>
        <v>0.00696743601</v>
      </c>
      <c r="O231" s="2"/>
      <c r="P231" s="2"/>
      <c r="Q231" s="2"/>
      <c r="R231" s="4"/>
    </row>
    <row r="232" ht="14.25" customHeight="1">
      <c r="K232" s="2">
        <v>0.0023</v>
      </c>
      <c r="L232" s="2">
        <f t="shared" si="6"/>
        <v>0.00001057994403</v>
      </c>
      <c r="M232" s="2">
        <f t="shared" si="7"/>
        <v>0.01226215513</v>
      </c>
      <c r="N232" s="2">
        <f t="shared" si="8"/>
        <v>0.006998596448</v>
      </c>
      <c r="O232" s="2"/>
      <c r="P232" s="2"/>
      <c r="Q232" s="2"/>
      <c r="R232" s="4"/>
    </row>
    <row r="233" ht="14.25" customHeight="1">
      <c r="K233" s="2">
        <v>0.00231</v>
      </c>
      <c r="L233" s="2">
        <f t="shared" si="6"/>
        <v>0.00001067214305</v>
      </c>
      <c r="M233" s="2">
        <f t="shared" si="7"/>
        <v>0.0123690138</v>
      </c>
      <c r="N233" s="2">
        <f t="shared" si="8"/>
        <v>0.007029766494</v>
      </c>
      <c r="O233" s="2"/>
      <c r="P233" s="2"/>
      <c r="Q233" s="2"/>
      <c r="R233" s="4"/>
    </row>
    <row r="234" ht="14.25" customHeight="1">
      <c r="K234" s="2">
        <v>0.00232</v>
      </c>
      <c r="L234" s="2">
        <f t="shared" si="6"/>
        <v>0.00001076474206</v>
      </c>
      <c r="M234" s="2">
        <f t="shared" si="7"/>
        <v>0.01247633605</v>
      </c>
      <c r="N234" s="2">
        <f t="shared" si="8"/>
        <v>0.007060946188</v>
      </c>
      <c r="O234" s="2"/>
      <c r="P234" s="2"/>
      <c r="Q234" s="2"/>
      <c r="R234" s="4"/>
    </row>
    <row r="235" ht="14.25" customHeight="1">
      <c r="K235" s="2">
        <v>0.00233</v>
      </c>
      <c r="L235" s="2">
        <f t="shared" si="6"/>
        <v>0.00001085774105</v>
      </c>
      <c r="M235" s="2">
        <f t="shared" si="7"/>
        <v>0.01258412188</v>
      </c>
      <c r="N235" s="2">
        <f t="shared" si="8"/>
        <v>0.007092135573</v>
      </c>
      <c r="O235" s="2"/>
      <c r="P235" s="2"/>
      <c r="Q235" s="2"/>
      <c r="R235" s="4"/>
    </row>
    <row r="236" ht="14.25" customHeight="1">
      <c r="K236" s="2">
        <v>0.00234</v>
      </c>
      <c r="L236" s="2">
        <f t="shared" si="6"/>
        <v>0.00001095114004</v>
      </c>
      <c r="M236" s="2">
        <f t="shared" si="7"/>
        <v>0.0126923713</v>
      </c>
      <c r="N236" s="2">
        <f t="shared" si="8"/>
        <v>0.007123334691</v>
      </c>
      <c r="O236" s="2"/>
      <c r="P236" s="2"/>
      <c r="Q236" s="2"/>
      <c r="R236" s="4"/>
    </row>
    <row r="237" ht="14.25" customHeight="1">
      <c r="K237" s="2">
        <v>0.00235</v>
      </c>
      <c r="L237" s="2">
        <f t="shared" si="6"/>
        <v>0.000011044939</v>
      </c>
      <c r="M237" s="2">
        <f t="shared" si="7"/>
        <v>0.01280108431</v>
      </c>
      <c r="N237" s="2">
        <f t="shared" si="8"/>
        <v>0.007154543582</v>
      </c>
      <c r="O237" s="2"/>
      <c r="P237" s="2"/>
      <c r="Q237" s="2"/>
      <c r="R237" s="4"/>
    </row>
    <row r="238" ht="14.25" customHeight="1">
      <c r="K238" s="2">
        <v>0.00236</v>
      </c>
      <c r="L238" s="2">
        <f t="shared" si="6"/>
        <v>0.00001113913796</v>
      </c>
      <c r="M238" s="2">
        <f t="shared" si="7"/>
        <v>0.0129102609</v>
      </c>
      <c r="N238" s="2">
        <f t="shared" si="8"/>
        <v>0.007185762289</v>
      </c>
      <c r="O238" s="2"/>
      <c r="P238" s="2"/>
      <c r="Q238" s="2"/>
      <c r="R238" s="4"/>
    </row>
    <row r="239" ht="14.25" customHeight="1">
      <c r="K239" s="2">
        <v>0.00237</v>
      </c>
      <c r="L239" s="2">
        <f t="shared" si="6"/>
        <v>0.0000112337369</v>
      </c>
      <c r="M239" s="2">
        <f t="shared" si="7"/>
        <v>0.01301990107</v>
      </c>
      <c r="N239" s="2">
        <f t="shared" si="8"/>
        <v>0.007216990854</v>
      </c>
      <c r="O239" s="2"/>
      <c r="P239" s="2"/>
      <c r="Q239" s="2"/>
      <c r="R239" s="4"/>
    </row>
    <row r="240" ht="14.25" customHeight="1">
      <c r="K240" s="2">
        <v>0.00238</v>
      </c>
      <c r="L240" s="2">
        <f t="shared" si="6"/>
        <v>0.00001132873583</v>
      </c>
      <c r="M240" s="2">
        <f t="shared" si="7"/>
        <v>0.01313000483</v>
      </c>
      <c r="N240" s="2">
        <f t="shared" si="8"/>
        <v>0.007248229319</v>
      </c>
      <c r="O240" s="2"/>
      <c r="P240" s="2"/>
      <c r="Q240" s="2"/>
      <c r="R240" s="4"/>
    </row>
    <row r="241" ht="14.25" customHeight="1">
      <c r="K241" s="2">
        <v>0.00239</v>
      </c>
      <c r="L241" s="2">
        <f t="shared" si="6"/>
        <v>0.00001142413474</v>
      </c>
      <c r="M241" s="2">
        <f t="shared" si="7"/>
        <v>0.01324057217</v>
      </c>
      <c r="N241" s="2">
        <f t="shared" si="8"/>
        <v>0.007279477724</v>
      </c>
      <c r="O241" s="2"/>
      <c r="P241" s="2"/>
      <c r="Q241" s="2"/>
      <c r="R241" s="4"/>
    </row>
    <row r="242" ht="14.25" customHeight="1">
      <c r="K242" s="2">
        <v>0.0024</v>
      </c>
      <c r="L242" s="2">
        <f t="shared" si="6"/>
        <v>0.00001151993365</v>
      </c>
      <c r="M242" s="2">
        <f t="shared" si="7"/>
        <v>0.0133516031</v>
      </c>
      <c r="N242" s="2">
        <f t="shared" si="8"/>
        <v>0.007310736113</v>
      </c>
      <c r="O242" s="2"/>
      <c r="P242" s="2"/>
      <c r="Q242" s="2"/>
      <c r="R242" s="4"/>
    </row>
    <row r="243" ht="14.25" customHeight="1">
      <c r="K243" s="2">
        <v>0.00241</v>
      </c>
      <c r="L243" s="2">
        <f t="shared" si="6"/>
        <v>0.00001161613253</v>
      </c>
      <c r="M243" s="2">
        <f t="shared" si="7"/>
        <v>0.01346309761</v>
      </c>
      <c r="N243" s="2">
        <f t="shared" si="8"/>
        <v>0.007342004526</v>
      </c>
      <c r="O243" s="2"/>
      <c r="P243" s="2"/>
      <c r="Q243" s="2"/>
      <c r="R243" s="4"/>
    </row>
    <row r="244" ht="14.25" customHeight="1">
      <c r="K244" s="2">
        <v>0.00242</v>
      </c>
      <c r="L244" s="2">
        <f t="shared" si="6"/>
        <v>0.00001171273141</v>
      </c>
      <c r="M244" s="2">
        <f t="shared" si="7"/>
        <v>0.0135750557</v>
      </c>
      <c r="N244" s="2">
        <f t="shared" si="8"/>
        <v>0.007373283005</v>
      </c>
      <c r="O244" s="2"/>
      <c r="P244" s="2"/>
      <c r="Q244" s="2"/>
      <c r="R244" s="4"/>
    </row>
    <row r="245" ht="14.25" customHeight="1">
      <c r="K245" s="2">
        <v>0.00243</v>
      </c>
      <c r="L245" s="2">
        <f t="shared" si="6"/>
        <v>0.00001180973027</v>
      </c>
      <c r="M245" s="2">
        <f t="shared" si="7"/>
        <v>0.01368747738</v>
      </c>
      <c r="N245" s="2">
        <f t="shared" si="8"/>
        <v>0.007404571593</v>
      </c>
      <c r="O245" s="2"/>
      <c r="P245" s="2"/>
      <c r="Q245" s="2"/>
      <c r="R245" s="4"/>
    </row>
    <row r="246" ht="14.25" customHeight="1">
      <c r="K246" s="2">
        <v>0.00244</v>
      </c>
      <c r="L246" s="2">
        <f t="shared" si="6"/>
        <v>0.00001190712911</v>
      </c>
      <c r="M246" s="2">
        <f t="shared" si="7"/>
        <v>0.01380036264</v>
      </c>
      <c r="N246" s="2">
        <f t="shared" si="8"/>
        <v>0.007435870331</v>
      </c>
      <c r="O246" s="2"/>
      <c r="P246" s="2"/>
      <c r="Q246" s="2"/>
      <c r="R246" s="4"/>
    </row>
    <row r="247" ht="14.25" customHeight="1">
      <c r="K247" s="2">
        <v>0.00245</v>
      </c>
      <c r="L247" s="2">
        <f t="shared" si="6"/>
        <v>0.00001200492794</v>
      </c>
      <c r="M247" s="2">
        <f t="shared" si="7"/>
        <v>0.01391371148</v>
      </c>
      <c r="N247" s="2">
        <f t="shared" si="8"/>
        <v>0.00746717926</v>
      </c>
      <c r="O247" s="2"/>
      <c r="P247" s="2"/>
      <c r="Q247" s="2"/>
      <c r="R247" s="4"/>
    </row>
    <row r="248" ht="14.25" customHeight="1">
      <c r="K248" s="2">
        <v>0.00246</v>
      </c>
      <c r="L248" s="2">
        <f t="shared" si="6"/>
        <v>0.00001210312676</v>
      </c>
      <c r="M248" s="2">
        <f t="shared" si="7"/>
        <v>0.01402752391</v>
      </c>
      <c r="N248" s="2">
        <f t="shared" si="8"/>
        <v>0.007498498423</v>
      </c>
      <c r="O248" s="2"/>
      <c r="P248" s="2"/>
      <c r="Q248" s="2"/>
      <c r="R248" s="4"/>
    </row>
    <row r="249" ht="14.25" customHeight="1">
      <c r="K249" s="2">
        <v>0.00247</v>
      </c>
      <c r="L249" s="2">
        <f t="shared" si="6"/>
        <v>0.00001220172556</v>
      </c>
      <c r="M249" s="2">
        <f t="shared" si="7"/>
        <v>0.01414179992</v>
      </c>
      <c r="N249" s="2">
        <f t="shared" si="8"/>
        <v>0.007529827861</v>
      </c>
      <c r="O249" s="2"/>
      <c r="P249" s="2"/>
      <c r="Q249" s="2"/>
      <c r="R249" s="4"/>
    </row>
    <row r="250" ht="14.25" customHeight="1">
      <c r="K250" s="2">
        <v>0.00248</v>
      </c>
      <c r="L250" s="2">
        <f t="shared" si="6"/>
        <v>0.00001230072435</v>
      </c>
      <c r="M250" s="2">
        <f t="shared" si="7"/>
        <v>0.01425653952</v>
      </c>
      <c r="N250" s="2">
        <f t="shared" si="8"/>
        <v>0.007561167616</v>
      </c>
      <c r="O250" s="2"/>
      <c r="P250" s="2"/>
      <c r="Q250" s="2"/>
      <c r="R250" s="4"/>
    </row>
    <row r="251" ht="14.25" customHeight="1">
      <c r="K251" s="2">
        <v>0.00249</v>
      </c>
      <c r="L251" s="2">
        <f t="shared" si="6"/>
        <v>0.00001240012312</v>
      </c>
      <c r="M251" s="2">
        <f t="shared" si="7"/>
        <v>0.01437174269</v>
      </c>
      <c r="N251" s="2">
        <f t="shared" si="8"/>
        <v>0.00759251773</v>
      </c>
      <c r="O251" s="2"/>
      <c r="P251" s="2"/>
      <c r="Q251" s="2"/>
      <c r="R251" s="4"/>
    </row>
    <row r="252" ht="14.25" customHeight="1">
      <c r="K252" s="2">
        <v>0.0025</v>
      </c>
      <c r="L252" s="2">
        <f t="shared" si="6"/>
        <v>0.00001249992188</v>
      </c>
      <c r="M252" s="2">
        <f t="shared" si="7"/>
        <v>0.01448740945</v>
      </c>
      <c r="N252" s="2">
        <f t="shared" si="8"/>
        <v>0.007623878245</v>
      </c>
      <c r="O252" s="2"/>
      <c r="P252" s="2"/>
      <c r="Q252" s="2"/>
      <c r="R252" s="4"/>
    </row>
    <row r="253" ht="14.25" customHeight="1">
      <c r="K253" s="2">
        <v>0.00251</v>
      </c>
      <c r="L253" s="2">
        <f t="shared" si="6"/>
        <v>0.00001260012062</v>
      </c>
      <c r="M253" s="2">
        <f t="shared" si="7"/>
        <v>0.0146035398</v>
      </c>
      <c r="N253" s="2">
        <f t="shared" si="8"/>
        <v>0.007655249202</v>
      </c>
      <c r="O253" s="2"/>
      <c r="P253" s="2"/>
      <c r="Q253" s="2"/>
      <c r="R253" s="4"/>
    </row>
    <row r="254" ht="14.25" customHeight="1">
      <c r="K254" s="2">
        <v>0.00252</v>
      </c>
      <c r="L254" s="2">
        <f t="shared" si="6"/>
        <v>0.00001270071935</v>
      </c>
      <c r="M254" s="2">
        <f t="shared" si="7"/>
        <v>0.01472013372</v>
      </c>
      <c r="N254" s="2">
        <f t="shared" si="8"/>
        <v>0.007686630643</v>
      </c>
      <c r="O254" s="2"/>
      <c r="P254" s="2"/>
      <c r="Q254" s="2"/>
      <c r="R254" s="4"/>
    </row>
    <row r="255" ht="14.25" customHeight="1">
      <c r="K255" s="2">
        <v>0.00253</v>
      </c>
      <c r="L255" s="2">
        <f t="shared" si="6"/>
        <v>0.00001280171806</v>
      </c>
      <c r="M255" s="2">
        <f t="shared" si="7"/>
        <v>0.01483719123</v>
      </c>
      <c r="N255" s="2">
        <f t="shared" si="8"/>
        <v>0.00771802261</v>
      </c>
      <c r="O255" s="2"/>
      <c r="P255" s="2"/>
      <c r="Q255" s="2"/>
      <c r="R255" s="4"/>
    </row>
    <row r="256" ht="14.25" customHeight="1">
      <c r="K256" s="2">
        <v>0.00254</v>
      </c>
      <c r="L256" s="2">
        <f t="shared" si="6"/>
        <v>0.00001290311675</v>
      </c>
      <c r="M256" s="2">
        <f t="shared" si="7"/>
        <v>0.01495471232</v>
      </c>
      <c r="N256" s="2">
        <f t="shared" si="8"/>
        <v>0.007749425145</v>
      </c>
      <c r="O256" s="2"/>
      <c r="P256" s="2"/>
      <c r="Q256" s="2"/>
      <c r="R256" s="4"/>
    </row>
    <row r="257" ht="14.25" customHeight="1">
      <c r="K257" s="2">
        <v>0.00255</v>
      </c>
      <c r="L257" s="2">
        <f t="shared" si="6"/>
        <v>0.00001300491544</v>
      </c>
      <c r="M257" s="2">
        <f t="shared" si="7"/>
        <v>0.01507269699</v>
      </c>
      <c r="N257" s="2">
        <f t="shared" si="8"/>
        <v>0.007780838289</v>
      </c>
      <c r="O257" s="2"/>
      <c r="P257" s="2"/>
      <c r="Q257" s="2"/>
      <c r="R257" s="4"/>
    </row>
    <row r="258" ht="14.25" customHeight="1">
      <c r="K258" s="2">
        <v>0.00256</v>
      </c>
      <c r="L258" s="2">
        <f t="shared" si="6"/>
        <v>0.0000131071141</v>
      </c>
      <c r="M258" s="2">
        <f t="shared" si="7"/>
        <v>0.01519114524</v>
      </c>
      <c r="N258" s="2">
        <f t="shared" si="8"/>
        <v>0.007812262084</v>
      </c>
      <c r="O258" s="2"/>
      <c r="P258" s="2"/>
      <c r="Q258" s="2"/>
      <c r="R258" s="4"/>
    </row>
    <row r="259" ht="14.25" customHeight="1">
      <c r="K259" s="2">
        <v>0.00257</v>
      </c>
      <c r="L259" s="2">
        <f t="shared" si="6"/>
        <v>0.00001320971275</v>
      </c>
      <c r="M259" s="2">
        <f t="shared" si="7"/>
        <v>0.01531005708</v>
      </c>
      <c r="N259" s="2">
        <f t="shared" si="8"/>
        <v>0.007843696572</v>
      </c>
      <c r="O259" s="2"/>
      <c r="P259" s="2"/>
      <c r="Q259" s="2"/>
      <c r="R259" s="4"/>
    </row>
    <row r="260" ht="14.25" customHeight="1">
      <c r="K260" s="2">
        <v>0.00258</v>
      </c>
      <c r="L260" s="2">
        <f t="shared" si="6"/>
        <v>0.00001331271139</v>
      </c>
      <c r="M260" s="2">
        <f t="shared" si="7"/>
        <v>0.0154294325</v>
      </c>
      <c r="N260" s="2">
        <f t="shared" si="8"/>
        <v>0.007875141794</v>
      </c>
      <c r="O260" s="2"/>
      <c r="P260" s="2"/>
      <c r="Q260" s="2"/>
      <c r="R260" s="4"/>
    </row>
    <row r="261" ht="14.25" customHeight="1">
      <c r="K261" s="2">
        <v>0.00259</v>
      </c>
      <c r="L261" s="2">
        <f t="shared" si="6"/>
        <v>0.00001341611</v>
      </c>
      <c r="M261" s="2">
        <f t="shared" si="7"/>
        <v>0.01554927149</v>
      </c>
      <c r="N261" s="2">
        <f t="shared" si="8"/>
        <v>0.007906597793</v>
      </c>
      <c r="O261" s="2"/>
      <c r="P261" s="2"/>
      <c r="Q261" s="2"/>
      <c r="R261" s="4"/>
    </row>
    <row r="262" ht="14.25" customHeight="1">
      <c r="K262" s="2">
        <v>0.0026</v>
      </c>
      <c r="L262" s="2">
        <f t="shared" si="6"/>
        <v>0.00001351990861</v>
      </c>
      <c r="M262" s="2">
        <f t="shared" si="7"/>
        <v>0.01566957407</v>
      </c>
      <c r="N262" s="2">
        <f t="shared" si="8"/>
        <v>0.007938064611</v>
      </c>
      <c r="O262" s="2"/>
      <c r="P262" s="2"/>
      <c r="Q262" s="2"/>
      <c r="R262" s="4"/>
    </row>
    <row r="263" ht="14.25" customHeight="1">
      <c r="K263" s="2">
        <v>0.00261</v>
      </c>
      <c r="L263" s="2">
        <f t="shared" si="6"/>
        <v>0.00001362410719</v>
      </c>
      <c r="M263" s="2">
        <f t="shared" si="7"/>
        <v>0.01579034024</v>
      </c>
      <c r="N263" s="2">
        <f t="shared" si="8"/>
        <v>0.007969542288</v>
      </c>
      <c r="O263" s="2"/>
      <c r="P263" s="2"/>
      <c r="Q263" s="2"/>
      <c r="R263" s="4"/>
    </row>
    <row r="264" ht="14.25" customHeight="1">
      <c r="K264" s="2">
        <v>0.00262</v>
      </c>
      <c r="L264" s="2">
        <f t="shared" si="6"/>
        <v>0.00001372870576</v>
      </c>
      <c r="M264" s="2">
        <f t="shared" si="7"/>
        <v>0.01591156998</v>
      </c>
      <c r="N264" s="2">
        <f t="shared" si="8"/>
        <v>0.008001030867</v>
      </c>
      <c r="O264" s="2"/>
      <c r="P264" s="2"/>
      <c r="Q264" s="2"/>
      <c r="R264" s="4"/>
    </row>
    <row r="265" ht="14.25" customHeight="1">
      <c r="K265" s="2">
        <v>0.00263</v>
      </c>
      <c r="L265" s="2">
        <f t="shared" si="6"/>
        <v>0.00001383370431</v>
      </c>
      <c r="M265" s="2">
        <f t="shared" si="7"/>
        <v>0.0160332633</v>
      </c>
      <c r="N265" s="2">
        <f t="shared" si="8"/>
        <v>0.008032530389</v>
      </c>
      <c r="O265" s="2"/>
      <c r="P265" s="2"/>
      <c r="Q265" s="2"/>
      <c r="R265" s="4"/>
    </row>
    <row r="266" ht="14.25" customHeight="1">
      <c r="K266" s="2">
        <v>0.00264</v>
      </c>
      <c r="L266" s="2">
        <f t="shared" si="6"/>
        <v>0.00001393910285</v>
      </c>
      <c r="M266" s="2">
        <f t="shared" si="7"/>
        <v>0.0161554202</v>
      </c>
      <c r="N266" s="2">
        <f t="shared" si="8"/>
        <v>0.008064040897</v>
      </c>
      <c r="O266" s="2"/>
      <c r="P266" s="2"/>
      <c r="Q266" s="2"/>
      <c r="R266" s="4"/>
    </row>
    <row r="267" ht="14.25" customHeight="1">
      <c r="K267" s="2">
        <v>0.00265</v>
      </c>
      <c r="L267" s="2">
        <f t="shared" si="6"/>
        <v>0.00001404490137</v>
      </c>
      <c r="M267" s="2">
        <f t="shared" si="7"/>
        <v>0.01627804069</v>
      </c>
      <c r="N267" s="2">
        <f t="shared" si="8"/>
        <v>0.008095562432</v>
      </c>
      <c r="O267" s="2"/>
      <c r="P267" s="2"/>
      <c r="Q267" s="2"/>
      <c r="R267" s="4"/>
    </row>
    <row r="268" ht="14.25" customHeight="1">
      <c r="K268" s="2">
        <v>0.00266</v>
      </c>
      <c r="L268" s="2">
        <f t="shared" si="6"/>
        <v>0.00001415109987</v>
      </c>
      <c r="M268" s="2">
        <f t="shared" si="7"/>
        <v>0.01640112475</v>
      </c>
      <c r="N268" s="2">
        <f t="shared" si="8"/>
        <v>0.008127095035</v>
      </c>
      <c r="O268" s="2"/>
      <c r="P268" s="2"/>
      <c r="Q268" s="2"/>
      <c r="R268" s="4"/>
    </row>
    <row r="269" ht="14.25" customHeight="1">
      <c r="K269" s="2">
        <v>0.00267</v>
      </c>
      <c r="L269" s="2">
        <f t="shared" si="6"/>
        <v>0.00001425769836</v>
      </c>
      <c r="M269" s="2">
        <f t="shared" si="7"/>
        <v>0.0165246724</v>
      </c>
      <c r="N269" s="2">
        <f t="shared" si="8"/>
        <v>0.00815863875</v>
      </c>
      <c r="O269" s="2"/>
      <c r="P269" s="2"/>
      <c r="Q269" s="2"/>
      <c r="R269" s="4"/>
    </row>
    <row r="270" ht="14.25" customHeight="1">
      <c r="K270" s="2">
        <v>0.00268</v>
      </c>
      <c r="L270" s="2">
        <f t="shared" si="6"/>
        <v>0.00001436469683</v>
      </c>
      <c r="M270" s="2">
        <f t="shared" si="7"/>
        <v>0.01664868362</v>
      </c>
      <c r="N270" s="2">
        <f t="shared" si="8"/>
        <v>0.008190193616</v>
      </c>
      <c r="O270" s="2"/>
      <c r="P270" s="2"/>
      <c r="Q270" s="2"/>
      <c r="R270" s="4"/>
    </row>
    <row r="271" ht="14.25" customHeight="1">
      <c r="K271" s="2">
        <v>0.00269</v>
      </c>
      <c r="L271" s="2">
        <f t="shared" si="6"/>
        <v>0.00001447209528</v>
      </c>
      <c r="M271" s="2">
        <f t="shared" si="7"/>
        <v>0.01677315843</v>
      </c>
      <c r="N271" s="2">
        <f t="shared" si="8"/>
        <v>0.008221759676</v>
      </c>
      <c r="O271" s="2"/>
      <c r="P271" s="2"/>
      <c r="Q271" s="2"/>
      <c r="R271" s="4"/>
    </row>
    <row r="272" ht="14.25" customHeight="1">
      <c r="K272" s="2">
        <v>0.0027</v>
      </c>
      <c r="L272" s="2">
        <f t="shared" si="6"/>
        <v>0.00001457989371</v>
      </c>
      <c r="M272" s="2">
        <f t="shared" si="7"/>
        <v>0.01689809681</v>
      </c>
      <c r="N272" s="2">
        <f t="shared" si="8"/>
        <v>0.008253336973</v>
      </c>
      <c r="O272" s="2"/>
      <c r="P272" s="2"/>
      <c r="Q272" s="2"/>
      <c r="R272" s="4"/>
    </row>
    <row r="273" ht="14.25" customHeight="1">
      <c r="K273" s="2">
        <v>0.00271</v>
      </c>
      <c r="L273" s="2">
        <f t="shared" si="6"/>
        <v>0.00001468809213</v>
      </c>
      <c r="M273" s="2">
        <f t="shared" si="7"/>
        <v>0.01702349878</v>
      </c>
      <c r="N273" s="2">
        <f t="shared" si="8"/>
        <v>0.008284925547</v>
      </c>
      <c r="O273" s="2"/>
      <c r="P273" s="2"/>
      <c r="Q273" s="2"/>
      <c r="R273" s="4"/>
    </row>
    <row r="274" ht="14.25" customHeight="1">
      <c r="K274" s="2">
        <v>0.00272</v>
      </c>
      <c r="L274" s="2">
        <f t="shared" si="6"/>
        <v>0.00001479669053</v>
      </c>
      <c r="M274" s="2">
        <f t="shared" si="7"/>
        <v>0.01714936432</v>
      </c>
      <c r="N274" s="2">
        <f t="shared" si="8"/>
        <v>0.00831652544</v>
      </c>
      <c r="O274" s="2"/>
      <c r="P274" s="2"/>
      <c r="Q274" s="2"/>
      <c r="R274" s="4"/>
    </row>
    <row r="275" ht="14.25" customHeight="1">
      <c r="K275" s="2">
        <v>0.00273</v>
      </c>
      <c r="L275" s="2">
        <f t="shared" si="6"/>
        <v>0.00001490568891</v>
      </c>
      <c r="M275" s="2">
        <f t="shared" si="7"/>
        <v>0.01727569345</v>
      </c>
      <c r="N275" s="2">
        <f t="shared" si="8"/>
        <v>0.008348136694</v>
      </c>
      <c r="O275" s="2"/>
      <c r="P275" s="2"/>
      <c r="Q275" s="2"/>
      <c r="R275" s="4"/>
    </row>
    <row r="276" ht="14.25" customHeight="1">
      <c r="K276" s="2">
        <v>0.00274</v>
      </c>
      <c r="L276" s="2">
        <f t="shared" si="6"/>
        <v>0.00001501508727</v>
      </c>
      <c r="M276" s="2">
        <f t="shared" si="7"/>
        <v>0.01740248615</v>
      </c>
      <c r="N276" s="2">
        <f t="shared" si="8"/>
        <v>0.008379759352</v>
      </c>
      <c r="O276" s="2"/>
      <c r="P276" s="2"/>
      <c r="Q276" s="2"/>
      <c r="R276" s="4"/>
    </row>
    <row r="277" ht="14.25" customHeight="1">
      <c r="K277" s="2">
        <v>0.00275</v>
      </c>
      <c r="L277" s="2">
        <f t="shared" si="6"/>
        <v>0.00001512488562</v>
      </c>
      <c r="M277" s="2">
        <f t="shared" si="7"/>
        <v>0.01752974243</v>
      </c>
      <c r="N277" s="2">
        <f t="shared" si="8"/>
        <v>0.008411393454</v>
      </c>
      <c r="O277" s="2"/>
      <c r="P277" s="2"/>
      <c r="Q277" s="2"/>
      <c r="R277" s="4"/>
    </row>
    <row r="278" ht="14.25" customHeight="1">
      <c r="K278" s="2">
        <v>0.00276</v>
      </c>
      <c r="L278" s="2">
        <f t="shared" si="6"/>
        <v>0.00001523508395</v>
      </c>
      <c r="M278" s="2">
        <f t="shared" si="7"/>
        <v>0.01765746229</v>
      </c>
      <c r="N278" s="2">
        <f t="shared" si="8"/>
        <v>0.008443039042</v>
      </c>
      <c r="O278" s="2"/>
      <c r="P278" s="2"/>
      <c r="Q278" s="2"/>
      <c r="R278" s="4"/>
    </row>
    <row r="279" ht="14.25" customHeight="1">
      <c r="K279" s="2">
        <v>0.00277</v>
      </c>
      <c r="L279" s="2">
        <f t="shared" si="6"/>
        <v>0.00001534568225</v>
      </c>
      <c r="M279" s="2">
        <f t="shared" si="7"/>
        <v>0.01778564573</v>
      </c>
      <c r="N279" s="2">
        <f t="shared" si="8"/>
        <v>0.008474696158</v>
      </c>
      <c r="O279" s="2"/>
      <c r="P279" s="2"/>
      <c r="Q279" s="2"/>
      <c r="R279" s="4"/>
    </row>
    <row r="280" ht="14.25" customHeight="1">
      <c r="K280" s="2">
        <v>0.00278</v>
      </c>
      <c r="L280" s="2">
        <f t="shared" si="6"/>
        <v>0.00001545668055</v>
      </c>
      <c r="M280" s="2">
        <f t="shared" si="7"/>
        <v>0.01791429275</v>
      </c>
      <c r="N280" s="2">
        <f t="shared" si="8"/>
        <v>0.008506364845</v>
      </c>
      <c r="O280" s="2"/>
      <c r="P280" s="2"/>
      <c r="Q280" s="2"/>
      <c r="R280" s="4"/>
    </row>
    <row r="281" ht="14.25" customHeight="1">
      <c r="K281" s="2">
        <v>0.00279</v>
      </c>
      <c r="L281" s="2">
        <f t="shared" si="6"/>
        <v>0.00001556807882</v>
      </c>
      <c r="M281" s="2">
        <f t="shared" si="7"/>
        <v>0.01804340335</v>
      </c>
      <c r="N281" s="2">
        <f t="shared" si="8"/>
        <v>0.008538045143</v>
      </c>
      <c r="O281" s="2"/>
      <c r="P281" s="2"/>
      <c r="Q281" s="2"/>
      <c r="R281" s="4"/>
    </row>
    <row r="282" ht="14.25" customHeight="1">
      <c r="K282" s="2">
        <v>0.0028</v>
      </c>
      <c r="L282" s="2">
        <f t="shared" si="6"/>
        <v>0.00001567987707</v>
      </c>
      <c r="M282" s="2">
        <f t="shared" si="7"/>
        <v>0.01817297752</v>
      </c>
      <c r="N282" s="2">
        <f t="shared" si="8"/>
        <v>0.008569737095</v>
      </c>
      <c r="O282" s="2"/>
      <c r="P282" s="2"/>
      <c r="Q282" s="2"/>
      <c r="R282" s="4"/>
    </row>
    <row r="283" ht="14.25" customHeight="1">
      <c r="K283" s="2">
        <v>0.00281</v>
      </c>
      <c r="L283" s="2">
        <f t="shared" si="6"/>
        <v>0.00001579207531</v>
      </c>
      <c r="M283" s="2">
        <f t="shared" si="7"/>
        <v>0.01830301528</v>
      </c>
      <c r="N283" s="2">
        <f t="shared" si="8"/>
        <v>0.008601440741</v>
      </c>
      <c r="O283" s="2"/>
      <c r="P283" s="2"/>
      <c r="Q283" s="2"/>
      <c r="R283" s="4"/>
    </row>
    <row r="284" ht="14.25" customHeight="1">
      <c r="K284" s="2">
        <v>0.00282</v>
      </c>
      <c r="L284" s="2">
        <f t="shared" si="6"/>
        <v>0.00001590467352</v>
      </c>
      <c r="M284" s="2">
        <f t="shared" si="7"/>
        <v>0.01843351661</v>
      </c>
      <c r="N284" s="2">
        <f t="shared" si="8"/>
        <v>0.008633156125</v>
      </c>
      <c r="O284" s="2"/>
      <c r="P284" s="2"/>
      <c r="Q284" s="2"/>
      <c r="R284" s="4"/>
    </row>
    <row r="285" ht="14.25" customHeight="1">
      <c r="K285" s="2">
        <v>0.00283</v>
      </c>
      <c r="L285" s="2">
        <f t="shared" si="6"/>
        <v>0.00001601767172</v>
      </c>
      <c r="M285" s="2">
        <f t="shared" si="7"/>
        <v>0.01856448152</v>
      </c>
      <c r="N285" s="2">
        <f t="shared" si="8"/>
        <v>0.008664883288</v>
      </c>
      <c r="O285" s="2"/>
      <c r="P285" s="2"/>
      <c r="Q285" s="2"/>
      <c r="R285" s="4"/>
    </row>
    <row r="286" ht="14.25" customHeight="1">
      <c r="K286" s="2">
        <v>0.00284</v>
      </c>
      <c r="L286" s="2">
        <f t="shared" si="6"/>
        <v>0.00001613106989</v>
      </c>
      <c r="M286" s="2">
        <f t="shared" si="7"/>
        <v>0.01869591001</v>
      </c>
      <c r="N286" s="2">
        <f t="shared" si="8"/>
        <v>0.008696622271</v>
      </c>
      <c r="O286" s="2"/>
      <c r="P286" s="2"/>
      <c r="Q286" s="2"/>
      <c r="R286" s="4"/>
    </row>
    <row r="287" ht="14.25" customHeight="1">
      <c r="K287" s="2">
        <v>0.00285</v>
      </c>
      <c r="L287" s="2">
        <f t="shared" si="6"/>
        <v>0.00001624486805</v>
      </c>
      <c r="M287" s="2">
        <f t="shared" si="7"/>
        <v>0.01882780207</v>
      </c>
      <c r="N287" s="2">
        <f t="shared" si="8"/>
        <v>0.008728373116</v>
      </c>
      <c r="O287" s="2"/>
      <c r="P287" s="2"/>
      <c r="Q287" s="2"/>
      <c r="R287" s="4"/>
    </row>
    <row r="288" ht="14.25" customHeight="1">
      <c r="K288" s="2">
        <v>0.00286</v>
      </c>
      <c r="L288" s="2">
        <f t="shared" si="6"/>
        <v>0.00001635906619</v>
      </c>
      <c r="M288" s="2">
        <f t="shared" si="7"/>
        <v>0.01896015771</v>
      </c>
      <c r="N288" s="2">
        <f t="shared" si="8"/>
        <v>0.008760135866</v>
      </c>
      <c r="O288" s="2"/>
      <c r="P288" s="2"/>
      <c r="Q288" s="2"/>
      <c r="R288" s="4"/>
    </row>
    <row r="289" ht="14.25" customHeight="1">
      <c r="K289" s="2">
        <v>0.00287</v>
      </c>
      <c r="L289" s="2">
        <f t="shared" si="6"/>
        <v>0.00001647366431</v>
      </c>
      <c r="M289" s="2">
        <f t="shared" si="7"/>
        <v>0.01909297693</v>
      </c>
      <c r="N289" s="2">
        <f t="shared" si="8"/>
        <v>0.008791910561</v>
      </c>
      <c r="O289" s="2"/>
      <c r="P289" s="2"/>
      <c r="Q289" s="2"/>
      <c r="R289" s="4"/>
    </row>
    <row r="290" ht="14.25" customHeight="1">
      <c r="K290" s="2">
        <v>0.00288</v>
      </c>
      <c r="L290" s="2">
        <f t="shared" si="6"/>
        <v>0.00001658866241</v>
      </c>
      <c r="M290" s="2">
        <f t="shared" si="7"/>
        <v>0.01922625973</v>
      </c>
      <c r="N290" s="2">
        <f t="shared" si="8"/>
        <v>0.008823697244</v>
      </c>
      <c r="O290" s="2"/>
      <c r="P290" s="2"/>
      <c r="Q290" s="2"/>
      <c r="R290" s="4"/>
    </row>
    <row r="291" ht="14.25" customHeight="1">
      <c r="K291" s="2">
        <v>0.00289</v>
      </c>
      <c r="L291" s="2">
        <f t="shared" si="6"/>
        <v>0.00001670406049</v>
      </c>
      <c r="M291" s="2">
        <f t="shared" si="7"/>
        <v>0.0193600061</v>
      </c>
      <c r="N291" s="2">
        <f t="shared" si="8"/>
        <v>0.008855495956</v>
      </c>
      <c r="O291" s="2"/>
      <c r="P291" s="2"/>
      <c r="Q291" s="2"/>
      <c r="R291" s="4"/>
    </row>
    <row r="292" ht="14.25" customHeight="1">
      <c r="K292" s="2">
        <v>0.0029</v>
      </c>
      <c r="L292" s="2">
        <f t="shared" si="6"/>
        <v>0.00001681985855</v>
      </c>
      <c r="M292" s="2">
        <f t="shared" si="7"/>
        <v>0.01949421606</v>
      </c>
      <c r="N292" s="2">
        <f t="shared" si="8"/>
        <v>0.008887306739</v>
      </c>
      <c r="O292" s="2"/>
      <c r="P292" s="2"/>
      <c r="Q292" s="2"/>
      <c r="R292" s="4"/>
    </row>
    <row r="293" ht="14.25" customHeight="1">
      <c r="K293" s="2">
        <v>0.00291</v>
      </c>
      <c r="L293" s="2">
        <f t="shared" si="6"/>
        <v>0.00001693605658</v>
      </c>
      <c r="M293" s="2">
        <f t="shared" si="7"/>
        <v>0.01962888958</v>
      </c>
      <c r="N293" s="2">
        <f t="shared" si="8"/>
        <v>0.008919129635</v>
      </c>
      <c r="O293" s="2"/>
      <c r="P293" s="2"/>
      <c r="Q293" s="2"/>
      <c r="R293" s="4"/>
    </row>
    <row r="294" ht="14.25" customHeight="1">
      <c r="K294" s="2">
        <v>0.00292</v>
      </c>
      <c r="L294" s="2">
        <f t="shared" si="6"/>
        <v>0.0000170526546</v>
      </c>
      <c r="M294" s="2">
        <f t="shared" si="7"/>
        <v>0.01976402669</v>
      </c>
      <c r="N294" s="2">
        <f t="shared" si="8"/>
        <v>0.008950964685</v>
      </c>
      <c r="O294" s="2"/>
      <c r="P294" s="2"/>
      <c r="Q294" s="2"/>
      <c r="R294" s="4"/>
    </row>
    <row r="295" ht="14.25" customHeight="1">
      <c r="K295" s="2">
        <v>0.00293</v>
      </c>
      <c r="L295" s="2">
        <f t="shared" si="6"/>
        <v>0.0000171696526</v>
      </c>
      <c r="M295" s="2">
        <f t="shared" si="7"/>
        <v>0.01989962737</v>
      </c>
      <c r="N295" s="2">
        <f t="shared" si="8"/>
        <v>0.008982811932</v>
      </c>
      <c r="O295" s="2"/>
      <c r="P295" s="2"/>
      <c r="Q295" s="2"/>
      <c r="R295" s="4"/>
    </row>
    <row r="296" ht="14.25" customHeight="1">
      <c r="K296" s="2">
        <v>0.00294</v>
      </c>
      <c r="L296" s="2">
        <f t="shared" si="6"/>
        <v>0.00001728705058</v>
      </c>
      <c r="M296" s="2">
        <f t="shared" si="7"/>
        <v>0.02003569162</v>
      </c>
      <c r="N296" s="2">
        <f t="shared" si="8"/>
        <v>0.009014671417</v>
      </c>
      <c r="O296" s="2"/>
      <c r="P296" s="2"/>
      <c r="Q296" s="2"/>
      <c r="R296" s="4"/>
    </row>
    <row r="297" ht="14.25" customHeight="1">
      <c r="K297" s="2">
        <v>0.00295</v>
      </c>
      <c r="L297" s="2">
        <f t="shared" si="6"/>
        <v>0.00001740484854</v>
      </c>
      <c r="M297" s="2">
        <f t="shared" si="7"/>
        <v>0.02017221945</v>
      </c>
      <c r="N297" s="2">
        <f t="shared" si="8"/>
        <v>0.009046543182</v>
      </c>
      <c r="O297" s="2"/>
      <c r="P297" s="2"/>
      <c r="Q297" s="2"/>
      <c r="R297" s="4"/>
    </row>
    <row r="298" ht="14.25" customHeight="1">
      <c r="K298" s="2">
        <v>0.00296</v>
      </c>
      <c r="L298" s="2">
        <f t="shared" si="6"/>
        <v>0.00001752304647</v>
      </c>
      <c r="M298" s="2">
        <f t="shared" si="7"/>
        <v>0.02030921086</v>
      </c>
      <c r="N298" s="2">
        <f t="shared" si="8"/>
        <v>0.009078427269</v>
      </c>
      <c r="O298" s="2"/>
      <c r="P298" s="2"/>
      <c r="Q298" s="2"/>
      <c r="R298" s="4"/>
    </row>
    <row r="299" ht="14.25" customHeight="1">
      <c r="K299" s="2">
        <v>0.00297</v>
      </c>
      <c r="L299" s="2">
        <f t="shared" si="6"/>
        <v>0.00001764164439</v>
      </c>
      <c r="M299" s="2">
        <f t="shared" si="7"/>
        <v>0.02044666584</v>
      </c>
      <c r="N299" s="2">
        <f t="shared" si="8"/>
        <v>0.009110323719</v>
      </c>
      <c r="O299" s="2"/>
      <c r="P299" s="2"/>
      <c r="Q299" s="2"/>
      <c r="R299" s="4"/>
    </row>
    <row r="300" ht="14.25" customHeight="1">
      <c r="K300" s="2">
        <v>0.00298</v>
      </c>
      <c r="L300" s="2">
        <f t="shared" si="6"/>
        <v>0.00001776064228</v>
      </c>
      <c r="M300" s="2">
        <f t="shared" si="7"/>
        <v>0.0205845844</v>
      </c>
      <c r="N300" s="2">
        <f t="shared" si="8"/>
        <v>0.009142232574</v>
      </c>
      <c r="O300" s="2"/>
      <c r="P300" s="2"/>
      <c r="Q300" s="2"/>
      <c r="R300" s="4"/>
    </row>
    <row r="301" ht="14.25" customHeight="1">
      <c r="K301" s="2">
        <v>0.00299</v>
      </c>
      <c r="L301" s="2">
        <f t="shared" si="6"/>
        <v>0.00001788004015</v>
      </c>
      <c r="M301" s="2">
        <f t="shared" si="7"/>
        <v>0.02072296654</v>
      </c>
      <c r="N301" s="2">
        <f t="shared" si="8"/>
        <v>0.009174153876</v>
      </c>
      <c r="O301" s="2"/>
      <c r="P301" s="2"/>
      <c r="Q301" s="2"/>
      <c r="R301" s="4"/>
    </row>
    <row r="302" ht="14.25" customHeight="1">
      <c r="K302" s="2">
        <v>0.003</v>
      </c>
      <c r="L302" s="2">
        <f t="shared" si="6"/>
        <v>0.000017999838</v>
      </c>
      <c r="M302" s="2">
        <f t="shared" si="7"/>
        <v>0.02086181225</v>
      </c>
      <c r="N302" s="2">
        <f t="shared" si="8"/>
        <v>0.009206087667</v>
      </c>
      <c r="O302" s="2"/>
      <c r="P302" s="2"/>
      <c r="Q302" s="2"/>
      <c r="R302" s="4"/>
    </row>
    <row r="303" ht="14.25" customHeight="1">
      <c r="K303" s="2">
        <v>0.00301</v>
      </c>
      <c r="L303" s="2">
        <f t="shared" si="6"/>
        <v>0.00001812003583</v>
      </c>
      <c r="M303" s="2">
        <f t="shared" si="7"/>
        <v>0.02100112153</v>
      </c>
      <c r="N303" s="2">
        <f t="shared" si="8"/>
        <v>0.009238033988</v>
      </c>
      <c r="O303" s="2"/>
      <c r="P303" s="2"/>
      <c r="Q303" s="2"/>
      <c r="R303" s="4"/>
    </row>
    <row r="304" ht="14.25" customHeight="1">
      <c r="K304" s="2">
        <v>0.00302</v>
      </c>
      <c r="L304" s="2">
        <f t="shared" si="6"/>
        <v>0.00001824063364</v>
      </c>
      <c r="M304" s="2">
        <f t="shared" si="7"/>
        <v>0.02114089439</v>
      </c>
      <c r="N304" s="2">
        <f t="shared" si="8"/>
        <v>0.009269992882</v>
      </c>
      <c r="O304" s="2"/>
      <c r="P304" s="2"/>
      <c r="Q304" s="2"/>
      <c r="R304" s="4"/>
    </row>
    <row r="305" ht="14.25" customHeight="1">
      <c r="K305" s="2">
        <v>0.00303</v>
      </c>
      <c r="L305" s="2">
        <f t="shared" si="6"/>
        <v>0.00001836163143</v>
      </c>
      <c r="M305" s="2">
        <f t="shared" si="7"/>
        <v>0.02128113082</v>
      </c>
      <c r="N305" s="2">
        <f t="shared" si="8"/>
        <v>0.009301964389</v>
      </c>
      <c r="O305" s="2"/>
      <c r="P305" s="2"/>
      <c r="Q305" s="2"/>
      <c r="R305" s="4"/>
    </row>
    <row r="306" ht="14.25" customHeight="1">
      <c r="K306" s="2">
        <v>0.00304</v>
      </c>
      <c r="L306" s="2">
        <f t="shared" si="6"/>
        <v>0.00001848302919</v>
      </c>
      <c r="M306" s="2">
        <f t="shared" si="7"/>
        <v>0.02142183083</v>
      </c>
      <c r="N306" s="2">
        <f t="shared" si="8"/>
        <v>0.009333948552</v>
      </c>
      <c r="O306" s="2"/>
      <c r="P306" s="2"/>
      <c r="Q306" s="2"/>
      <c r="R306" s="4"/>
    </row>
    <row r="307" ht="14.25" customHeight="1">
      <c r="K307" s="2">
        <v>0.00305</v>
      </c>
      <c r="L307" s="2">
        <f t="shared" si="6"/>
        <v>0.00001860482693</v>
      </c>
      <c r="M307" s="2">
        <f t="shared" si="7"/>
        <v>0.02156299441</v>
      </c>
      <c r="N307" s="2">
        <f t="shared" si="8"/>
        <v>0.009365945413</v>
      </c>
      <c r="O307" s="2"/>
      <c r="P307" s="2"/>
      <c r="Q307" s="2"/>
      <c r="R307" s="4"/>
    </row>
    <row r="308" ht="14.25" customHeight="1">
      <c r="K308" s="2">
        <v>0.00306</v>
      </c>
      <c r="L308" s="2">
        <f t="shared" si="6"/>
        <v>0.00001872702465</v>
      </c>
      <c r="M308" s="2">
        <f t="shared" si="7"/>
        <v>0.02170462157</v>
      </c>
      <c r="N308" s="2">
        <f t="shared" si="8"/>
        <v>0.009397955013</v>
      </c>
      <c r="O308" s="2"/>
      <c r="P308" s="2"/>
      <c r="Q308" s="2"/>
      <c r="R308" s="4"/>
    </row>
    <row r="309" ht="14.25" customHeight="1">
      <c r="K309" s="2">
        <v>0.00307</v>
      </c>
      <c r="L309" s="2">
        <f t="shared" si="6"/>
        <v>0.00001884962235</v>
      </c>
      <c r="M309" s="2">
        <f t="shared" si="7"/>
        <v>0.0218467123</v>
      </c>
      <c r="N309" s="2">
        <f t="shared" si="8"/>
        <v>0.009429977394</v>
      </c>
      <c r="O309" s="2"/>
      <c r="P309" s="2"/>
      <c r="Q309" s="2"/>
      <c r="R309" s="4"/>
    </row>
    <row r="310" ht="14.25" customHeight="1">
      <c r="K310" s="2">
        <v>0.00308</v>
      </c>
      <c r="L310" s="2">
        <f t="shared" si="6"/>
        <v>0.00001897262002</v>
      </c>
      <c r="M310" s="2">
        <f t="shared" si="7"/>
        <v>0.0219892666</v>
      </c>
      <c r="N310" s="2">
        <f t="shared" si="8"/>
        <v>0.009462012597</v>
      </c>
      <c r="O310" s="2"/>
      <c r="P310" s="2"/>
      <c r="Q310" s="2"/>
      <c r="R310" s="4"/>
    </row>
    <row r="311" ht="14.25" customHeight="1">
      <c r="K311" s="2">
        <v>0.00309</v>
      </c>
      <c r="L311" s="2">
        <f t="shared" si="6"/>
        <v>0.00001909601767</v>
      </c>
      <c r="M311" s="2">
        <f t="shared" si="7"/>
        <v>0.02213228448</v>
      </c>
      <c r="N311" s="2">
        <f t="shared" si="8"/>
        <v>0.009494060665</v>
      </c>
      <c r="O311" s="2"/>
      <c r="P311" s="2"/>
      <c r="Q311" s="2"/>
      <c r="R311" s="4"/>
    </row>
    <row r="312" ht="14.25" customHeight="1">
      <c r="K312" s="2">
        <v>0.0031</v>
      </c>
      <c r="L312" s="2">
        <f t="shared" si="6"/>
        <v>0.0000192198153</v>
      </c>
      <c r="M312" s="2">
        <f t="shared" si="7"/>
        <v>0.02227576593</v>
      </c>
      <c r="N312" s="2">
        <f t="shared" si="8"/>
        <v>0.00952612164</v>
      </c>
      <c r="O312" s="2"/>
      <c r="P312" s="2"/>
      <c r="Q312" s="2"/>
      <c r="R312" s="4"/>
    </row>
    <row r="313" ht="14.25" customHeight="1">
      <c r="K313" s="2">
        <v>0.00311</v>
      </c>
      <c r="L313" s="2">
        <f t="shared" si="6"/>
        <v>0.0000193440129</v>
      </c>
      <c r="M313" s="2">
        <f t="shared" si="7"/>
        <v>0.02241971096</v>
      </c>
      <c r="N313" s="2">
        <f t="shared" si="8"/>
        <v>0.009558195563</v>
      </c>
      <c r="O313" s="2"/>
      <c r="P313" s="2"/>
      <c r="Q313" s="2"/>
      <c r="R313" s="4"/>
    </row>
    <row r="314" ht="14.25" customHeight="1">
      <c r="K314" s="2">
        <v>0.00312</v>
      </c>
      <c r="L314" s="2">
        <f t="shared" si="6"/>
        <v>0.00001946861049</v>
      </c>
      <c r="M314" s="2">
        <f t="shared" si="7"/>
        <v>0.02256411955</v>
      </c>
      <c r="N314" s="2">
        <f t="shared" si="8"/>
        <v>0.009590282475</v>
      </c>
      <c r="O314" s="2"/>
      <c r="P314" s="2"/>
      <c r="Q314" s="2"/>
      <c r="R314" s="4"/>
    </row>
    <row r="315" ht="14.25" customHeight="1">
      <c r="K315" s="2">
        <v>0.00313</v>
      </c>
      <c r="L315" s="2">
        <f t="shared" si="6"/>
        <v>0.00001959360805</v>
      </c>
      <c r="M315" s="2">
        <f t="shared" si="7"/>
        <v>0.02270899172</v>
      </c>
      <c r="N315" s="2">
        <f t="shared" si="8"/>
        <v>0.009622382419</v>
      </c>
      <c r="O315" s="2"/>
      <c r="P315" s="2"/>
      <c r="Q315" s="2"/>
      <c r="R315" s="4"/>
    </row>
    <row r="316" ht="14.25" customHeight="1">
      <c r="K316" s="2">
        <v>0.00314</v>
      </c>
      <c r="L316" s="2">
        <f t="shared" si="6"/>
        <v>0.00001971900558</v>
      </c>
      <c r="M316" s="2">
        <f t="shared" si="7"/>
        <v>0.02285432747</v>
      </c>
      <c r="N316" s="2">
        <f t="shared" si="8"/>
        <v>0.009654495436</v>
      </c>
      <c r="O316" s="2"/>
      <c r="P316" s="2"/>
      <c r="Q316" s="2"/>
      <c r="R316" s="4"/>
    </row>
    <row r="317" ht="14.25" customHeight="1">
      <c r="K317" s="2">
        <v>0.00315</v>
      </c>
      <c r="L317" s="2">
        <f t="shared" si="6"/>
        <v>0.00001984480309</v>
      </c>
      <c r="M317" s="2">
        <f t="shared" si="7"/>
        <v>0.02300012678</v>
      </c>
      <c r="N317" s="2">
        <f t="shared" si="8"/>
        <v>0.009686621568</v>
      </c>
      <c r="O317" s="2"/>
      <c r="P317" s="2"/>
      <c r="Q317" s="2"/>
      <c r="R317" s="4"/>
    </row>
    <row r="318" ht="14.25" customHeight="1">
      <c r="K318" s="2">
        <v>0.00316</v>
      </c>
      <c r="L318" s="2">
        <f t="shared" si="6"/>
        <v>0.00001997100058</v>
      </c>
      <c r="M318" s="2">
        <f t="shared" si="7"/>
        <v>0.02314638967</v>
      </c>
      <c r="N318" s="2">
        <f t="shared" si="8"/>
        <v>0.009718760858</v>
      </c>
      <c r="O318" s="2"/>
      <c r="P318" s="2"/>
      <c r="Q318" s="2"/>
      <c r="R318" s="4"/>
    </row>
    <row r="319" ht="14.25" customHeight="1">
      <c r="K319" s="2">
        <v>0.00317</v>
      </c>
      <c r="L319" s="2">
        <f t="shared" si="6"/>
        <v>0.00002009759804</v>
      </c>
      <c r="M319" s="2">
        <f t="shared" si="7"/>
        <v>0.02329311613</v>
      </c>
      <c r="N319" s="2">
        <f t="shared" si="8"/>
        <v>0.009750913346</v>
      </c>
      <c r="O319" s="2"/>
      <c r="P319" s="2"/>
      <c r="Q319" s="2"/>
      <c r="R319" s="4"/>
    </row>
    <row r="320" ht="14.25" customHeight="1">
      <c r="K320" s="2">
        <v>0.00318</v>
      </c>
      <c r="L320" s="2">
        <f t="shared" si="6"/>
        <v>0.00002022459548</v>
      </c>
      <c r="M320" s="2">
        <f t="shared" si="7"/>
        <v>0.02344030616</v>
      </c>
      <c r="N320" s="2">
        <f t="shared" si="8"/>
        <v>0.009783079074</v>
      </c>
      <c r="O320" s="2"/>
      <c r="P320" s="2"/>
      <c r="Q320" s="2"/>
      <c r="R320" s="4"/>
    </row>
    <row r="321" ht="14.25" customHeight="1">
      <c r="K321" s="2">
        <v>0.00319</v>
      </c>
      <c r="L321" s="2">
        <f t="shared" si="6"/>
        <v>0.0000203519929</v>
      </c>
      <c r="M321" s="2">
        <f t="shared" si="7"/>
        <v>0.02358795977</v>
      </c>
      <c r="N321" s="2">
        <f t="shared" si="8"/>
        <v>0.009815258084</v>
      </c>
      <c r="O321" s="2"/>
      <c r="P321" s="2"/>
      <c r="Q321" s="2"/>
      <c r="R321" s="4"/>
    </row>
    <row r="322" ht="14.25" customHeight="1">
      <c r="K322" s="2">
        <v>0.0032</v>
      </c>
      <c r="L322" s="2">
        <f t="shared" si="6"/>
        <v>0.00002047979029</v>
      </c>
      <c r="M322" s="2">
        <f t="shared" si="7"/>
        <v>0.02373607695</v>
      </c>
      <c r="N322" s="2">
        <f t="shared" si="8"/>
        <v>0.009847450418</v>
      </c>
      <c r="O322" s="2"/>
      <c r="P322" s="2"/>
      <c r="Q322" s="2"/>
      <c r="R322" s="4"/>
    </row>
    <row r="323" ht="14.25" customHeight="1">
      <c r="K323" s="2">
        <v>0.00321</v>
      </c>
      <c r="L323" s="2">
        <f t="shared" si="6"/>
        <v>0.00002060798766</v>
      </c>
      <c r="M323" s="2">
        <f t="shared" si="7"/>
        <v>0.02388465769</v>
      </c>
      <c r="N323" s="2">
        <f t="shared" si="8"/>
        <v>0.009879656118</v>
      </c>
      <c r="O323" s="2"/>
      <c r="P323" s="2"/>
      <c r="Q323" s="2"/>
      <c r="R323" s="4"/>
    </row>
    <row r="324" ht="14.25" customHeight="1">
      <c r="K324" s="2">
        <v>0.00322</v>
      </c>
      <c r="L324" s="2">
        <f t="shared" si="6"/>
        <v>0.000020736585</v>
      </c>
      <c r="M324" s="2">
        <f t="shared" si="7"/>
        <v>0.02403370201</v>
      </c>
      <c r="N324" s="2">
        <f t="shared" si="8"/>
        <v>0.009911875225</v>
      </c>
      <c r="O324" s="2"/>
      <c r="P324" s="2"/>
      <c r="Q324" s="2"/>
      <c r="R324" s="4"/>
    </row>
    <row r="325" ht="14.25" customHeight="1">
      <c r="K325" s="2">
        <v>0.00323</v>
      </c>
      <c r="L325" s="2">
        <f t="shared" si="6"/>
        <v>0.00002086558231</v>
      </c>
      <c r="M325" s="2">
        <f t="shared" si="7"/>
        <v>0.0241832099</v>
      </c>
      <c r="N325" s="2">
        <f t="shared" si="8"/>
        <v>0.009944107782</v>
      </c>
      <c r="O325" s="2"/>
      <c r="P325" s="2"/>
      <c r="Q325" s="2"/>
      <c r="R325" s="4"/>
    </row>
    <row r="326" ht="14.25" customHeight="1">
      <c r="K326" s="2">
        <v>0.00324</v>
      </c>
      <c r="L326" s="2">
        <f t="shared" si="6"/>
        <v>0.00002099497961</v>
      </c>
      <c r="M326" s="2">
        <f t="shared" si="7"/>
        <v>0.02433318136</v>
      </c>
      <c r="N326" s="2">
        <f t="shared" si="8"/>
        <v>0.009976353829</v>
      </c>
      <c r="O326" s="2"/>
      <c r="P326" s="2"/>
      <c r="Q326" s="2"/>
      <c r="R326" s="4"/>
    </row>
    <row r="327" ht="14.25" customHeight="1">
      <c r="K327" s="2">
        <v>0.00325</v>
      </c>
      <c r="L327" s="2">
        <f t="shared" si="6"/>
        <v>0.00002112477687</v>
      </c>
      <c r="M327" s="2">
        <f t="shared" si="7"/>
        <v>0.02448361639</v>
      </c>
      <c r="N327" s="2">
        <f t="shared" si="8"/>
        <v>0.01000861341</v>
      </c>
      <c r="O327" s="2"/>
      <c r="P327" s="2"/>
      <c r="Q327" s="2"/>
      <c r="R327" s="4"/>
    </row>
    <row r="328" ht="14.25" customHeight="1">
      <c r="K328" s="2">
        <v>0.00326</v>
      </c>
      <c r="L328" s="2">
        <f t="shared" si="6"/>
        <v>0.00002125497411</v>
      </c>
      <c r="M328" s="2">
        <f t="shared" si="7"/>
        <v>0.024634515</v>
      </c>
      <c r="N328" s="2">
        <f t="shared" si="8"/>
        <v>0.01004088656</v>
      </c>
      <c r="O328" s="2"/>
      <c r="P328" s="2"/>
      <c r="Q328" s="2"/>
      <c r="R328" s="4"/>
    </row>
    <row r="329" ht="14.25" customHeight="1">
      <c r="K329" s="2">
        <v>0.00327</v>
      </c>
      <c r="L329" s="2">
        <f t="shared" si="6"/>
        <v>0.00002138557133</v>
      </c>
      <c r="M329" s="2">
        <f t="shared" si="7"/>
        <v>0.02478587717</v>
      </c>
      <c r="N329" s="2">
        <f t="shared" si="8"/>
        <v>0.01007317333</v>
      </c>
      <c r="O329" s="2"/>
      <c r="P329" s="2"/>
      <c r="Q329" s="2"/>
      <c r="R329" s="4"/>
    </row>
    <row r="330" ht="14.25" customHeight="1">
      <c r="K330" s="2">
        <v>0.00328</v>
      </c>
      <c r="L330" s="2">
        <f t="shared" si="6"/>
        <v>0.00002151656852</v>
      </c>
      <c r="M330" s="2">
        <f t="shared" si="7"/>
        <v>0.02493770291</v>
      </c>
      <c r="N330" s="2">
        <f t="shared" si="8"/>
        <v>0.01010547376</v>
      </c>
      <c r="O330" s="2"/>
      <c r="P330" s="2"/>
      <c r="Q330" s="2"/>
      <c r="R330" s="4"/>
    </row>
    <row r="331" ht="14.25" customHeight="1">
      <c r="K331" s="2">
        <v>0.00329</v>
      </c>
      <c r="L331" s="2">
        <f t="shared" si="6"/>
        <v>0.00002164796568</v>
      </c>
      <c r="M331" s="2">
        <f t="shared" si="7"/>
        <v>0.02508999223</v>
      </c>
      <c r="N331" s="2">
        <f t="shared" si="8"/>
        <v>0.01013778789</v>
      </c>
      <c r="O331" s="2"/>
      <c r="P331" s="2"/>
      <c r="Q331" s="2"/>
      <c r="R331" s="4"/>
    </row>
    <row r="332" ht="14.25" customHeight="1">
      <c r="K332" s="2">
        <v>0.0033</v>
      </c>
      <c r="L332" s="2">
        <f t="shared" si="6"/>
        <v>0.00002177976282</v>
      </c>
      <c r="M332" s="2">
        <f t="shared" si="7"/>
        <v>0.02524274511</v>
      </c>
      <c r="N332" s="2">
        <f t="shared" si="8"/>
        <v>0.01017011576</v>
      </c>
      <c r="O332" s="2"/>
      <c r="P332" s="2"/>
      <c r="Q332" s="2"/>
      <c r="R332" s="4"/>
    </row>
    <row r="333" ht="14.25" customHeight="1">
      <c r="K333" s="2">
        <v>0.00331</v>
      </c>
      <c r="L333" s="2">
        <f t="shared" si="6"/>
        <v>0.00002191195993</v>
      </c>
      <c r="M333" s="2">
        <f t="shared" si="7"/>
        <v>0.02539596156</v>
      </c>
      <c r="N333" s="2">
        <f t="shared" si="8"/>
        <v>0.01020245741</v>
      </c>
      <c r="O333" s="2"/>
      <c r="P333" s="2"/>
      <c r="Q333" s="2"/>
      <c r="R333" s="4"/>
    </row>
    <row r="334" ht="14.25" customHeight="1">
      <c r="K334" s="2">
        <v>0.00332</v>
      </c>
      <c r="L334" s="2">
        <f t="shared" si="6"/>
        <v>0.00002204455702</v>
      </c>
      <c r="M334" s="2">
        <f t="shared" si="7"/>
        <v>0.02554964158</v>
      </c>
      <c r="N334" s="2">
        <f t="shared" si="8"/>
        <v>0.01023481289</v>
      </c>
      <c r="O334" s="2"/>
      <c r="P334" s="2"/>
      <c r="Q334" s="2"/>
      <c r="R334" s="4"/>
    </row>
    <row r="335" ht="14.25" customHeight="1">
      <c r="K335" s="2">
        <v>0.00333</v>
      </c>
      <c r="L335" s="2">
        <f t="shared" si="6"/>
        <v>0.00002217755408</v>
      </c>
      <c r="M335" s="2">
        <f t="shared" si="7"/>
        <v>0.02570378518</v>
      </c>
      <c r="N335" s="2">
        <f t="shared" si="8"/>
        <v>0.01026718224</v>
      </c>
      <c r="O335" s="2"/>
      <c r="P335" s="2"/>
      <c r="Q335" s="2"/>
      <c r="R335" s="4"/>
    </row>
    <row r="336" ht="14.25" customHeight="1">
      <c r="K336" s="2">
        <v>0.00334</v>
      </c>
      <c r="L336" s="2">
        <f t="shared" si="6"/>
        <v>0.00002231095111</v>
      </c>
      <c r="M336" s="2">
        <f t="shared" si="7"/>
        <v>0.02585839234</v>
      </c>
      <c r="N336" s="2">
        <f t="shared" si="8"/>
        <v>0.01029956549</v>
      </c>
      <c r="O336" s="2"/>
      <c r="P336" s="2"/>
      <c r="Q336" s="2"/>
      <c r="R336" s="4"/>
    </row>
    <row r="337" ht="14.25" customHeight="1">
      <c r="K337" s="2">
        <v>0.00335</v>
      </c>
      <c r="L337" s="2">
        <f t="shared" si="6"/>
        <v>0.00002244474812</v>
      </c>
      <c r="M337" s="2">
        <f t="shared" si="7"/>
        <v>0.02601346307</v>
      </c>
      <c r="N337" s="2">
        <f t="shared" si="8"/>
        <v>0.01033196269</v>
      </c>
      <c r="O337" s="2"/>
      <c r="P337" s="2"/>
      <c r="Q337" s="2"/>
      <c r="R337" s="4"/>
    </row>
    <row r="338" ht="14.25" customHeight="1">
      <c r="K338" s="2">
        <v>0.00336</v>
      </c>
      <c r="L338" s="2">
        <f t="shared" si="6"/>
        <v>0.0000225789451</v>
      </c>
      <c r="M338" s="2">
        <f t="shared" si="7"/>
        <v>0.02616899737</v>
      </c>
      <c r="N338" s="2">
        <f t="shared" si="8"/>
        <v>0.01036437389</v>
      </c>
      <c r="O338" s="2"/>
      <c r="P338" s="2"/>
      <c r="Q338" s="2"/>
      <c r="R338" s="4"/>
    </row>
    <row r="339" ht="14.25" customHeight="1">
      <c r="K339" s="2">
        <v>0.00337</v>
      </c>
      <c r="L339" s="2">
        <f t="shared" si="6"/>
        <v>0.00002271354205</v>
      </c>
      <c r="M339" s="2">
        <f t="shared" si="7"/>
        <v>0.02632499523</v>
      </c>
      <c r="N339" s="2">
        <f t="shared" si="8"/>
        <v>0.01039679912</v>
      </c>
      <c r="O339" s="2"/>
      <c r="P339" s="2"/>
      <c r="Q339" s="2"/>
      <c r="R339" s="4"/>
    </row>
    <row r="340" ht="14.25" customHeight="1">
      <c r="K340" s="2">
        <v>0.00338</v>
      </c>
      <c r="L340" s="2">
        <f t="shared" si="6"/>
        <v>0.00002284853897</v>
      </c>
      <c r="M340" s="2">
        <f t="shared" si="7"/>
        <v>0.02648145667</v>
      </c>
      <c r="N340" s="2">
        <f t="shared" si="8"/>
        <v>0.01042923842</v>
      </c>
      <c r="O340" s="2"/>
      <c r="P340" s="2"/>
      <c r="Q340" s="2"/>
      <c r="R340" s="4"/>
    </row>
    <row r="341" ht="14.25" customHeight="1">
      <c r="K341" s="2">
        <v>0.00339</v>
      </c>
      <c r="L341" s="2">
        <f t="shared" si="6"/>
        <v>0.00002298393587</v>
      </c>
      <c r="M341" s="2">
        <f t="shared" si="7"/>
        <v>0.02663838167</v>
      </c>
      <c r="N341" s="2">
        <f t="shared" si="8"/>
        <v>0.01046169185</v>
      </c>
      <c r="O341" s="2"/>
      <c r="P341" s="2"/>
      <c r="Q341" s="2"/>
      <c r="R341" s="4"/>
    </row>
    <row r="342" ht="14.25" customHeight="1">
      <c r="K342" s="2">
        <v>0.0034</v>
      </c>
      <c r="L342" s="2">
        <f t="shared" si="6"/>
        <v>0.00002311973274</v>
      </c>
      <c r="M342" s="2">
        <f t="shared" si="7"/>
        <v>0.02679577024</v>
      </c>
      <c r="N342" s="2">
        <f t="shared" si="8"/>
        <v>0.01049415943</v>
      </c>
      <c r="O342" s="2"/>
      <c r="P342" s="2"/>
      <c r="Q342" s="2"/>
      <c r="R342" s="4"/>
    </row>
    <row r="343" ht="14.25" customHeight="1">
      <c r="K343" s="2">
        <v>0.00341</v>
      </c>
      <c r="L343" s="2">
        <f t="shared" si="6"/>
        <v>0.00002325592958</v>
      </c>
      <c r="M343" s="2">
        <f t="shared" si="7"/>
        <v>0.02695362238</v>
      </c>
      <c r="N343" s="2">
        <f t="shared" si="8"/>
        <v>0.01052664121</v>
      </c>
      <c r="O343" s="2"/>
      <c r="P343" s="2"/>
      <c r="Q343" s="2"/>
      <c r="R343" s="4"/>
    </row>
    <row r="344" ht="14.25" customHeight="1">
      <c r="K344" s="2">
        <v>0.00342</v>
      </c>
      <c r="L344" s="2">
        <f t="shared" si="6"/>
        <v>0.00002339252639</v>
      </c>
      <c r="M344" s="2">
        <f t="shared" si="7"/>
        <v>0.02711193809</v>
      </c>
      <c r="N344" s="2">
        <f t="shared" si="8"/>
        <v>0.01055913723</v>
      </c>
      <c r="O344" s="2"/>
      <c r="P344" s="2"/>
      <c r="Q344" s="2"/>
      <c r="R344" s="4"/>
    </row>
    <row r="345" ht="14.25" customHeight="1">
      <c r="K345" s="2">
        <v>0.00343</v>
      </c>
      <c r="L345" s="2">
        <f t="shared" si="6"/>
        <v>0.00002352952318</v>
      </c>
      <c r="M345" s="2">
        <f t="shared" si="7"/>
        <v>0.02727071737</v>
      </c>
      <c r="N345" s="2">
        <f t="shared" si="8"/>
        <v>0.01059164754</v>
      </c>
      <c r="O345" s="2"/>
      <c r="P345" s="2"/>
      <c r="Q345" s="2"/>
      <c r="R345" s="4"/>
    </row>
    <row r="346" ht="14.25" customHeight="1">
      <c r="K346" s="2">
        <v>0.00344</v>
      </c>
      <c r="L346" s="2">
        <f t="shared" si="6"/>
        <v>0.00002366691994</v>
      </c>
      <c r="M346" s="2">
        <f t="shared" si="7"/>
        <v>0.02742996021</v>
      </c>
      <c r="N346" s="2">
        <f t="shared" si="8"/>
        <v>0.01062417218</v>
      </c>
      <c r="O346" s="2"/>
      <c r="P346" s="2"/>
      <c r="Q346" s="2"/>
      <c r="R346" s="4"/>
    </row>
    <row r="347" ht="14.25" customHeight="1">
      <c r="K347" s="2">
        <v>0.00345</v>
      </c>
      <c r="L347" s="2">
        <f t="shared" si="6"/>
        <v>0.00002380471667</v>
      </c>
      <c r="M347" s="2">
        <f t="shared" si="7"/>
        <v>0.02758966662</v>
      </c>
      <c r="N347" s="2">
        <f t="shared" si="8"/>
        <v>0.01065671118</v>
      </c>
      <c r="O347" s="2"/>
      <c r="P347" s="2"/>
      <c r="Q347" s="2"/>
      <c r="R347" s="4"/>
    </row>
    <row r="348" ht="14.25" customHeight="1">
      <c r="K348" s="2">
        <v>0.00346</v>
      </c>
      <c r="L348" s="2">
        <f t="shared" si="6"/>
        <v>0.00002394291337</v>
      </c>
      <c r="M348" s="2">
        <f t="shared" si="7"/>
        <v>0.02774983659</v>
      </c>
      <c r="N348" s="2">
        <f t="shared" si="8"/>
        <v>0.01068926459</v>
      </c>
      <c r="O348" s="2"/>
      <c r="P348" s="2"/>
      <c r="Q348" s="2"/>
      <c r="R348" s="4"/>
    </row>
    <row r="349" ht="14.25" customHeight="1">
      <c r="K349" s="2">
        <v>0.00347</v>
      </c>
      <c r="L349" s="2">
        <f t="shared" si="6"/>
        <v>0.00002408151004</v>
      </c>
      <c r="M349" s="2">
        <f t="shared" si="7"/>
        <v>0.02791047014</v>
      </c>
      <c r="N349" s="2">
        <f t="shared" si="8"/>
        <v>0.01072183246</v>
      </c>
      <c r="O349" s="2"/>
      <c r="P349" s="2"/>
      <c r="Q349" s="2"/>
      <c r="R349" s="4"/>
    </row>
    <row r="350" ht="14.25" customHeight="1">
      <c r="K350" s="2">
        <v>0.00348</v>
      </c>
      <c r="L350" s="2">
        <f t="shared" si="6"/>
        <v>0.00002422050668</v>
      </c>
      <c r="M350" s="2">
        <f t="shared" si="7"/>
        <v>0.02807156725</v>
      </c>
      <c r="N350" s="2">
        <f t="shared" si="8"/>
        <v>0.01075441482</v>
      </c>
      <c r="O350" s="2"/>
      <c r="P350" s="2"/>
      <c r="Q350" s="2"/>
      <c r="R350" s="4"/>
    </row>
    <row r="351" ht="14.25" customHeight="1">
      <c r="K351" s="2">
        <v>0.00349</v>
      </c>
      <c r="L351" s="2">
        <f t="shared" si="6"/>
        <v>0.0000243599033</v>
      </c>
      <c r="M351" s="2">
        <f t="shared" si="7"/>
        <v>0.02823312792</v>
      </c>
      <c r="N351" s="2">
        <f t="shared" si="8"/>
        <v>0.01078701171</v>
      </c>
      <c r="O351" s="2"/>
      <c r="P351" s="2"/>
      <c r="Q351" s="2"/>
      <c r="R351" s="4"/>
    </row>
    <row r="352" ht="14.25" customHeight="1">
      <c r="K352" s="2">
        <v>0.0035</v>
      </c>
      <c r="L352" s="2">
        <f t="shared" si="6"/>
        <v>0.00002449969988</v>
      </c>
      <c r="M352" s="2">
        <f t="shared" si="7"/>
        <v>0.02839515216</v>
      </c>
      <c r="N352" s="2">
        <f t="shared" si="8"/>
        <v>0.01081962318</v>
      </c>
      <c r="O352" s="2"/>
      <c r="P352" s="2"/>
      <c r="Q352" s="2"/>
      <c r="R352" s="4"/>
    </row>
    <row r="353" ht="14.25" customHeight="1">
      <c r="K353" s="2">
        <v>0.00351</v>
      </c>
      <c r="L353" s="2">
        <f t="shared" si="6"/>
        <v>0.00002463989644</v>
      </c>
      <c r="M353" s="2">
        <f t="shared" si="7"/>
        <v>0.02855763997</v>
      </c>
      <c r="N353" s="2">
        <f t="shared" si="8"/>
        <v>0.01085224926</v>
      </c>
      <c r="O353" s="2"/>
      <c r="P353" s="2"/>
      <c r="Q353" s="2"/>
      <c r="R353" s="4"/>
    </row>
    <row r="354" ht="14.25" customHeight="1">
      <c r="K354" s="2">
        <v>0.00352</v>
      </c>
      <c r="L354" s="2">
        <f t="shared" si="6"/>
        <v>0.00002478049296</v>
      </c>
      <c r="M354" s="2">
        <f t="shared" si="7"/>
        <v>0.02872059134</v>
      </c>
      <c r="N354" s="2">
        <f t="shared" si="8"/>
        <v>0.01088489001</v>
      </c>
      <c r="O354" s="2"/>
      <c r="P354" s="2"/>
      <c r="Q354" s="2"/>
      <c r="R354" s="4"/>
    </row>
    <row r="355" ht="14.25" customHeight="1">
      <c r="K355" s="2">
        <v>0.00353</v>
      </c>
      <c r="L355" s="2">
        <f t="shared" si="6"/>
        <v>0.00002492148946</v>
      </c>
      <c r="M355" s="2">
        <f t="shared" si="7"/>
        <v>0.02888400628</v>
      </c>
      <c r="N355" s="2">
        <f t="shared" si="8"/>
        <v>0.01091754546</v>
      </c>
      <c r="O355" s="2"/>
      <c r="P355" s="2"/>
      <c r="Q355" s="2"/>
      <c r="R355" s="4"/>
    </row>
    <row r="356" ht="14.25" customHeight="1">
      <c r="K356" s="2">
        <v>0.00354</v>
      </c>
      <c r="L356" s="2">
        <f t="shared" si="6"/>
        <v>0.00002506288593</v>
      </c>
      <c r="M356" s="2">
        <f t="shared" si="7"/>
        <v>0.02904788479</v>
      </c>
      <c r="N356" s="2">
        <f t="shared" si="8"/>
        <v>0.01095021565</v>
      </c>
      <c r="O356" s="2"/>
      <c r="P356" s="2"/>
      <c r="Q356" s="2"/>
      <c r="R356" s="4"/>
    </row>
    <row r="357" ht="14.25" customHeight="1">
      <c r="K357" s="2">
        <v>0.00355</v>
      </c>
      <c r="L357" s="2">
        <f t="shared" si="6"/>
        <v>0.00002520468236</v>
      </c>
      <c r="M357" s="2">
        <f t="shared" si="7"/>
        <v>0.02921222686</v>
      </c>
      <c r="N357" s="2">
        <f t="shared" si="8"/>
        <v>0.01098290063</v>
      </c>
      <c r="O357" s="2"/>
      <c r="P357" s="2"/>
      <c r="Q357" s="2"/>
      <c r="R357" s="4"/>
    </row>
    <row r="358" ht="14.25" customHeight="1">
      <c r="K358" s="2">
        <v>0.00356</v>
      </c>
      <c r="L358" s="2">
        <f t="shared" si="6"/>
        <v>0.00002534687877</v>
      </c>
      <c r="M358" s="2">
        <f t="shared" si="7"/>
        <v>0.02937703249</v>
      </c>
      <c r="N358" s="2">
        <f t="shared" si="8"/>
        <v>0.01101560043</v>
      </c>
      <c r="O358" s="2"/>
      <c r="P358" s="2"/>
      <c r="Q358" s="2"/>
      <c r="R358" s="4"/>
    </row>
    <row r="359" ht="14.25" customHeight="1">
      <c r="K359" s="2">
        <v>0.00357</v>
      </c>
      <c r="L359" s="2">
        <f t="shared" si="6"/>
        <v>0.00002548947514</v>
      </c>
      <c r="M359" s="2">
        <f t="shared" si="7"/>
        <v>0.02954230169</v>
      </c>
      <c r="N359" s="2">
        <f t="shared" si="8"/>
        <v>0.01104831511</v>
      </c>
      <c r="O359" s="2"/>
      <c r="P359" s="2"/>
      <c r="Q359" s="2"/>
      <c r="R359" s="4"/>
    </row>
    <row r="360" ht="14.25" customHeight="1">
      <c r="K360" s="2">
        <v>0.00358</v>
      </c>
      <c r="L360" s="2">
        <f t="shared" si="6"/>
        <v>0.00002563247149</v>
      </c>
      <c r="M360" s="2">
        <f t="shared" si="7"/>
        <v>0.02970803445</v>
      </c>
      <c r="N360" s="2">
        <f t="shared" si="8"/>
        <v>0.01108104469</v>
      </c>
      <c r="O360" s="2"/>
      <c r="P360" s="2"/>
      <c r="Q360" s="2"/>
      <c r="R360" s="4"/>
    </row>
    <row r="361" ht="14.25" customHeight="1">
      <c r="K361" s="2">
        <v>0.00359</v>
      </c>
      <c r="L361" s="2">
        <f t="shared" si="6"/>
        <v>0.0000257758678</v>
      </c>
      <c r="M361" s="2">
        <f t="shared" si="7"/>
        <v>0.02987423078</v>
      </c>
      <c r="N361" s="2">
        <f t="shared" si="8"/>
        <v>0.01111378923</v>
      </c>
      <c r="O361" s="2"/>
      <c r="P361" s="2"/>
      <c r="Q361" s="2"/>
      <c r="R361" s="4"/>
    </row>
    <row r="362" ht="14.25" customHeight="1">
      <c r="K362" s="2">
        <v>0.0036</v>
      </c>
      <c r="L362" s="2">
        <f t="shared" si="6"/>
        <v>0.00002591966409</v>
      </c>
      <c r="M362" s="2">
        <f t="shared" si="7"/>
        <v>0.03004089068</v>
      </c>
      <c r="N362" s="2">
        <f t="shared" si="8"/>
        <v>0.01114654876</v>
      </c>
      <c r="O362" s="2"/>
      <c r="P362" s="2"/>
      <c r="Q362" s="2"/>
      <c r="R362" s="4"/>
    </row>
    <row r="363" ht="14.25" customHeight="1">
      <c r="K363" s="2">
        <v>0.00361</v>
      </c>
      <c r="L363" s="2">
        <f t="shared" si="6"/>
        <v>0.00002606386034</v>
      </c>
      <c r="M363" s="2">
        <f t="shared" si="7"/>
        <v>0.03020801413</v>
      </c>
      <c r="N363" s="2">
        <f t="shared" si="8"/>
        <v>0.01117932333</v>
      </c>
      <c r="O363" s="2"/>
      <c r="P363" s="2"/>
      <c r="Q363" s="2"/>
      <c r="R363" s="4"/>
    </row>
    <row r="364" ht="14.25" customHeight="1">
      <c r="K364" s="2">
        <v>0.00362</v>
      </c>
      <c r="L364" s="2">
        <f t="shared" si="6"/>
        <v>0.00002620845656</v>
      </c>
      <c r="M364" s="2">
        <f t="shared" si="7"/>
        <v>0.03037560115</v>
      </c>
      <c r="N364" s="2">
        <f t="shared" si="8"/>
        <v>0.01121211297</v>
      </c>
      <c r="O364" s="2"/>
      <c r="P364" s="2"/>
      <c r="Q364" s="2"/>
      <c r="R364" s="4"/>
    </row>
    <row r="365" ht="14.25" customHeight="1">
      <c r="K365" s="2">
        <v>0.00363</v>
      </c>
      <c r="L365" s="2">
        <f t="shared" si="6"/>
        <v>0.00002635345275</v>
      </c>
      <c r="M365" s="2">
        <f t="shared" si="7"/>
        <v>0.03054365173</v>
      </c>
      <c r="N365" s="2">
        <f t="shared" si="8"/>
        <v>0.01124491774</v>
      </c>
      <c r="O365" s="2"/>
      <c r="P365" s="2"/>
      <c r="Q365" s="2"/>
      <c r="R365" s="4"/>
    </row>
    <row r="366" ht="14.25" customHeight="1">
      <c r="K366" s="2">
        <v>0.00364</v>
      </c>
      <c r="L366" s="2">
        <f t="shared" si="6"/>
        <v>0.00002649884891</v>
      </c>
      <c r="M366" s="2">
        <f t="shared" si="7"/>
        <v>0.03071216588</v>
      </c>
      <c r="N366" s="2">
        <f t="shared" si="8"/>
        <v>0.01127773766</v>
      </c>
      <c r="O366" s="2"/>
      <c r="P366" s="2"/>
      <c r="Q366" s="2"/>
      <c r="R366" s="4"/>
    </row>
    <row r="367" ht="14.25" customHeight="1">
      <c r="K367" s="2">
        <v>0.00365</v>
      </c>
      <c r="L367" s="2">
        <f t="shared" si="6"/>
        <v>0.00002664464503</v>
      </c>
      <c r="M367" s="2">
        <f t="shared" si="7"/>
        <v>0.03088114359</v>
      </c>
      <c r="N367" s="2">
        <f t="shared" si="8"/>
        <v>0.01131057279</v>
      </c>
      <c r="O367" s="2"/>
      <c r="P367" s="2"/>
      <c r="Q367" s="2"/>
      <c r="R367" s="4"/>
    </row>
    <row r="368" ht="14.25" customHeight="1">
      <c r="K368" s="2">
        <v>0.00366</v>
      </c>
      <c r="L368" s="2">
        <f t="shared" si="6"/>
        <v>0.00002679084113</v>
      </c>
      <c r="M368" s="2">
        <f t="shared" si="7"/>
        <v>0.03105058486</v>
      </c>
      <c r="N368" s="2">
        <f t="shared" si="8"/>
        <v>0.01134342317</v>
      </c>
      <c r="O368" s="2"/>
      <c r="P368" s="2"/>
      <c r="Q368" s="2"/>
      <c r="R368" s="4"/>
    </row>
    <row r="369" ht="14.25" customHeight="1">
      <c r="K369" s="2">
        <v>0.00367</v>
      </c>
      <c r="L369" s="2">
        <f t="shared" si="6"/>
        <v>0.00002693743719</v>
      </c>
      <c r="M369" s="2">
        <f t="shared" si="7"/>
        <v>0.0312204897</v>
      </c>
      <c r="N369" s="2">
        <f t="shared" si="8"/>
        <v>0.01137628883</v>
      </c>
      <c r="O369" s="2"/>
      <c r="P369" s="2"/>
      <c r="Q369" s="2"/>
      <c r="R369" s="4"/>
    </row>
    <row r="370" ht="14.25" customHeight="1">
      <c r="K370" s="2">
        <v>0.00368</v>
      </c>
      <c r="L370" s="2">
        <f t="shared" si="6"/>
        <v>0.00002708443322</v>
      </c>
      <c r="M370" s="2">
        <f t="shared" si="7"/>
        <v>0.0313908581</v>
      </c>
      <c r="N370" s="2">
        <f t="shared" si="8"/>
        <v>0.01140916981</v>
      </c>
      <c r="O370" s="2"/>
      <c r="P370" s="2"/>
      <c r="Q370" s="2"/>
      <c r="R370" s="4"/>
    </row>
    <row r="371" ht="14.25" customHeight="1">
      <c r="K371" s="2">
        <v>0.00369</v>
      </c>
      <c r="L371" s="2">
        <f t="shared" si="6"/>
        <v>0.00002723182921</v>
      </c>
      <c r="M371" s="2">
        <f t="shared" si="7"/>
        <v>0.03156169006</v>
      </c>
      <c r="N371" s="2">
        <f t="shared" si="8"/>
        <v>0.01144206617</v>
      </c>
      <c r="O371" s="2"/>
      <c r="P371" s="2"/>
      <c r="Q371" s="2"/>
      <c r="R371" s="4"/>
    </row>
    <row r="372" ht="14.25" customHeight="1">
      <c r="K372" s="2">
        <v>0.0037</v>
      </c>
      <c r="L372" s="2">
        <f t="shared" si="6"/>
        <v>0.00002737962518</v>
      </c>
      <c r="M372" s="2">
        <f t="shared" si="7"/>
        <v>0.03173298558</v>
      </c>
      <c r="N372" s="2">
        <f t="shared" si="8"/>
        <v>0.01147497794</v>
      </c>
      <c r="O372" s="2"/>
      <c r="P372" s="2"/>
      <c r="Q372" s="2"/>
      <c r="R372" s="4"/>
    </row>
    <row r="373" ht="14.25" customHeight="1">
      <c r="K373" s="2">
        <v>0.00371</v>
      </c>
      <c r="L373" s="2">
        <f t="shared" si="6"/>
        <v>0.00002752782111</v>
      </c>
      <c r="M373" s="2">
        <f t="shared" si="7"/>
        <v>0.03190474467</v>
      </c>
      <c r="N373" s="2">
        <f t="shared" si="8"/>
        <v>0.01150790517</v>
      </c>
      <c r="O373" s="2"/>
      <c r="P373" s="2"/>
      <c r="Q373" s="2"/>
      <c r="R373" s="4"/>
    </row>
    <row r="374" ht="14.25" customHeight="1">
      <c r="K374" s="2">
        <v>0.00372</v>
      </c>
      <c r="L374" s="2">
        <f t="shared" si="6"/>
        <v>0.00002767641701</v>
      </c>
      <c r="M374" s="2">
        <f t="shared" si="7"/>
        <v>0.03207696731</v>
      </c>
      <c r="N374" s="2">
        <f t="shared" si="8"/>
        <v>0.01154084788</v>
      </c>
      <c r="O374" s="2"/>
      <c r="P374" s="2"/>
      <c r="Q374" s="2"/>
      <c r="R374" s="4"/>
    </row>
    <row r="375" ht="14.25" customHeight="1">
      <c r="K375" s="2">
        <v>0.00373</v>
      </c>
      <c r="L375" s="2">
        <f t="shared" si="6"/>
        <v>0.00002782541287</v>
      </c>
      <c r="M375" s="2">
        <f t="shared" si="7"/>
        <v>0.03224965352</v>
      </c>
      <c r="N375" s="2">
        <f t="shared" si="8"/>
        <v>0.01157380614</v>
      </c>
      <c r="O375" s="2"/>
      <c r="P375" s="2"/>
      <c r="Q375" s="2"/>
      <c r="R375" s="4"/>
    </row>
    <row r="376" ht="14.25" customHeight="1">
      <c r="K376" s="2">
        <v>0.00374</v>
      </c>
      <c r="L376" s="2">
        <f t="shared" si="6"/>
        <v>0.00002797480871</v>
      </c>
      <c r="M376" s="2">
        <f t="shared" si="7"/>
        <v>0.03242280329</v>
      </c>
      <c r="N376" s="2">
        <f t="shared" si="8"/>
        <v>0.01160677997</v>
      </c>
      <c r="O376" s="2"/>
      <c r="P376" s="2"/>
      <c r="Q376" s="2"/>
      <c r="R376" s="4"/>
    </row>
    <row r="377" ht="14.25" customHeight="1">
      <c r="K377" s="2">
        <v>0.00375</v>
      </c>
      <c r="L377" s="2">
        <f t="shared" si="6"/>
        <v>0.0000281246045</v>
      </c>
      <c r="M377" s="2">
        <f t="shared" si="7"/>
        <v>0.03259641662</v>
      </c>
      <c r="N377" s="2">
        <f t="shared" si="8"/>
        <v>0.01163976943</v>
      </c>
      <c r="O377" s="2"/>
      <c r="P377" s="2"/>
      <c r="Q377" s="2"/>
      <c r="R377" s="4"/>
    </row>
    <row r="378" ht="14.25" customHeight="1">
      <c r="K378" s="2">
        <v>0.00376</v>
      </c>
      <c r="L378" s="2">
        <f t="shared" si="6"/>
        <v>0.00002827480027</v>
      </c>
      <c r="M378" s="2">
        <f t="shared" si="7"/>
        <v>0.03277049351</v>
      </c>
      <c r="N378" s="2">
        <f t="shared" si="8"/>
        <v>0.01167277455</v>
      </c>
      <c r="O378" s="2"/>
      <c r="P378" s="2"/>
      <c r="Q378" s="2"/>
      <c r="R378" s="4"/>
    </row>
    <row r="379" ht="14.25" customHeight="1">
      <c r="K379" s="2">
        <v>0.00377</v>
      </c>
      <c r="L379" s="2">
        <f t="shared" si="6"/>
        <v>0.000028425396</v>
      </c>
      <c r="M379" s="2">
        <f t="shared" si="7"/>
        <v>0.03294503396</v>
      </c>
      <c r="N379" s="2">
        <f t="shared" si="8"/>
        <v>0.01170579537</v>
      </c>
      <c r="O379" s="2"/>
      <c r="P379" s="2"/>
      <c r="Q379" s="2"/>
      <c r="R379" s="4"/>
    </row>
    <row r="380" ht="14.25" customHeight="1">
      <c r="K380" s="2">
        <v>0.00378</v>
      </c>
      <c r="L380" s="2">
        <f t="shared" si="6"/>
        <v>0.00002857639169</v>
      </c>
      <c r="M380" s="2">
        <f t="shared" si="7"/>
        <v>0.03312003797</v>
      </c>
      <c r="N380" s="2">
        <f t="shared" si="8"/>
        <v>0.01173883193</v>
      </c>
      <c r="O380" s="2"/>
      <c r="P380" s="2"/>
      <c r="Q380" s="2"/>
      <c r="R380" s="4"/>
    </row>
    <row r="381" ht="14.25" customHeight="1">
      <c r="K381" s="2">
        <v>0.00379</v>
      </c>
      <c r="L381" s="2">
        <f t="shared" si="6"/>
        <v>0.00002872778736</v>
      </c>
      <c r="M381" s="2">
        <f t="shared" si="7"/>
        <v>0.03329550555</v>
      </c>
      <c r="N381" s="2">
        <f t="shared" si="8"/>
        <v>0.01177188429</v>
      </c>
      <c r="O381" s="2"/>
      <c r="P381" s="2"/>
      <c r="Q381" s="2"/>
      <c r="R381" s="4"/>
    </row>
    <row r="382" ht="14.25" customHeight="1">
      <c r="K382" s="2">
        <v>0.0038</v>
      </c>
      <c r="L382" s="2">
        <f t="shared" si="6"/>
        <v>0.00002887958298</v>
      </c>
      <c r="M382" s="2">
        <f t="shared" si="7"/>
        <v>0.03347143668</v>
      </c>
      <c r="N382" s="2">
        <f t="shared" si="8"/>
        <v>0.01180495247</v>
      </c>
      <c r="O382" s="2"/>
      <c r="P382" s="2"/>
      <c r="Q382" s="2"/>
      <c r="R382" s="4"/>
    </row>
    <row r="383" ht="14.25" customHeight="1">
      <c r="K383" s="2">
        <v>0.00381</v>
      </c>
      <c r="L383" s="2">
        <f t="shared" si="6"/>
        <v>0.00002903177858</v>
      </c>
      <c r="M383" s="2">
        <f t="shared" si="7"/>
        <v>0.03364783137</v>
      </c>
      <c r="N383" s="2">
        <f t="shared" si="8"/>
        <v>0.01183803653</v>
      </c>
      <c r="O383" s="2"/>
      <c r="P383" s="2"/>
      <c r="Q383" s="2"/>
      <c r="R383" s="4"/>
    </row>
    <row r="384" ht="14.25" customHeight="1">
      <c r="K384" s="2">
        <v>0.00382</v>
      </c>
      <c r="L384" s="2">
        <f t="shared" si="6"/>
        <v>0.00002918437414</v>
      </c>
      <c r="M384" s="2">
        <f t="shared" si="7"/>
        <v>0.03382468962</v>
      </c>
      <c r="N384" s="2">
        <f t="shared" si="8"/>
        <v>0.0118711365</v>
      </c>
      <c r="O384" s="2"/>
      <c r="P384" s="2"/>
      <c r="Q384" s="2"/>
      <c r="R384" s="4"/>
    </row>
    <row r="385" ht="14.25" customHeight="1">
      <c r="K385" s="2">
        <v>0.00383</v>
      </c>
      <c r="L385" s="2">
        <f t="shared" si="6"/>
        <v>0.00002933736966</v>
      </c>
      <c r="M385" s="2">
        <f t="shared" si="7"/>
        <v>0.03400201144</v>
      </c>
      <c r="N385" s="2">
        <f t="shared" si="8"/>
        <v>0.01190425242</v>
      </c>
      <c r="O385" s="2"/>
      <c r="P385" s="2"/>
      <c r="Q385" s="2"/>
      <c r="R385" s="4"/>
    </row>
    <row r="386" ht="14.25" customHeight="1">
      <c r="K386" s="2">
        <v>0.00384</v>
      </c>
      <c r="L386" s="2">
        <f t="shared" si="6"/>
        <v>0.00002949076515</v>
      </c>
      <c r="M386" s="2">
        <f t="shared" si="7"/>
        <v>0.03417979681</v>
      </c>
      <c r="N386" s="2">
        <f t="shared" si="8"/>
        <v>0.01193738434</v>
      </c>
      <c r="O386" s="2"/>
      <c r="P386" s="2"/>
      <c r="Q386" s="2"/>
      <c r="R386" s="4"/>
    </row>
    <row r="387" ht="14.25" customHeight="1">
      <c r="K387" s="2">
        <v>0.00385</v>
      </c>
      <c r="L387" s="2">
        <f t="shared" si="6"/>
        <v>0.0000296445606</v>
      </c>
      <c r="M387" s="2">
        <f t="shared" si="7"/>
        <v>0.03435804574</v>
      </c>
      <c r="N387" s="2">
        <f t="shared" si="8"/>
        <v>0.01197053229</v>
      </c>
      <c r="O387" s="2"/>
      <c r="P387" s="2"/>
      <c r="Q387" s="2"/>
      <c r="R387" s="4"/>
    </row>
    <row r="388" ht="14.25" customHeight="1">
      <c r="K388" s="2">
        <v>0.00386</v>
      </c>
      <c r="L388" s="2">
        <f t="shared" si="6"/>
        <v>0.00002979875602</v>
      </c>
      <c r="M388" s="2">
        <f t="shared" si="7"/>
        <v>0.03453675822</v>
      </c>
      <c r="N388" s="2">
        <f t="shared" si="8"/>
        <v>0.01200369633</v>
      </c>
      <c r="O388" s="2"/>
      <c r="P388" s="2"/>
      <c r="Q388" s="2"/>
      <c r="R388" s="4"/>
    </row>
    <row r="389" ht="14.25" customHeight="1">
      <c r="K389" s="2">
        <v>0.00387</v>
      </c>
      <c r="L389" s="2">
        <f t="shared" si="6"/>
        <v>0.0000299533514</v>
      </c>
      <c r="M389" s="2">
        <f t="shared" si="7"/>
        <v>0.03471593427</v>
      </c>
      <c r="N389" s="2">
        <f t="shared" si="8"/>
        <v>0.01203687649</v>
      </c>
      <c r="O389" s="2"/>
      <c r="P389" s="2"/>
      <c r="Q389" s="2"/>
      <c r="R389" s="4"/>
    </row>
    <row r="390" ht="14.25" customHeight="1">
      <c r="K390" s="2">
        <v>0.00388</v>
      </c>
      <c r="L390" s="2">
        <f t="shared" si="6"/>
        <v>0.00003010834674</v>
      </c>
      <c r="M390" s="2">
        <f t="shared" si="7"/>
        <v>0.03489557388</v>
      </c>
      <c r="N390" s="2">
        <f t="shared" si="8"/>
        <v>0.01207007281</v>
      </c>
      <c r="O390" s="2"/>
      <c r="P390" s="2"/>
      <c r="Q390" s="2"/>
      <c r="R390" s="4"/>
    </row>
    <row r="391" ht="14.25" customHeight="1">
      <c r="K391" s="2">
        <v>0.00389</v>
      </c>
      <c r="L391" s="2">
        <f t="shared" si="6"/>
        <v>0.00003026374205</v>
      </c>
      <c r="M391" s="2">
        <f t="shared" si="7"/>
        <v>0.03507567704</v>
      </c>
      <c r="N391" s="2">
        <f t="shared" si="8"/>
        <v>0.01210328533</v>
      </c>
      <c r="O391" s="2"/>
      <c r="P391" s="2"/>
      <c r="Q391" s="2"/>
      <c r="R391" s="4"/>
    </row>
    <row r="392" ht="14.25" customHeight="1">
      <c r="K392" s="2">
        <v>0.0039</v>
      </c>
      <c r="L392" s="2">
        <f t="shared" si="6"/>
        <v>0.00003041953733</v>
      </c>
      <c r="M392" s="2">
        <f t="shared" si="7"/>
        <v>0.03525624376</v>
      </c>
      <c r="N392" s="2">
        <f t="shared" si="8"/>
        <v>0.01213651411</v>
      </c>
      <c r="O392" s="2"/>
      <c r="P392" s="2"/>
      <c r="Q392" s="2"/>
      <c r="R392" s="4"/>
    </row>
    <row r="393" ht="14.25" customHeight="1">
      <c r="K393" s="2">
        <v>0.00391</v>
      </c>
      <c r="L393" s="2">
        <f t="shared" si="6"/>
        <v>0.00003057573256</v>
      </c>
      <c r="M393" s="2">
        <f t="shared" si="7"/>
        <v>0.03543727404</v>
      </c>
      <c r="N393" s="2">
        <f t="shared" si="8"/>
        <v>0.01216975917</v>
      </c>
      <c r="O393" s="2"/>
      <c r="P393" s="2"/>
      <c r="Q393" s="2"/>
      <c r="R393" s="4"/>
    </row>
    <row r="394" ht="14.25" customHeight="1">
      <c r="K394" s="2">
        <v>0.00392</v>
      </c>
      <c r="L394" s="2">
        <f t="shared" si="6"/>
        <v>0.00003073232776</v>
      </c>
      <c r="M394" s="2">
        <f t="shared" si="7"/>
        <v>0.03561876788</v>
      </c>
      <c r="N394" s="2">
        <f t="shared" si="8"/>
        <v>0.01220302056</v>
      </c>
      <c r="O394" s="2"/>
      <c r="P394" s="2"/>
      <c r="Q394" s="2"/>
      <c r="R394" s="4"/>
    </row>
    <row r="395" ht="14.25" customHeight="1">
      <c r="K395" s="2">
        <v>0.00393</v>
      </c>
      <c r="L395" s="2">
        <f t="shared" si="6"/>
        <v>0.00003088932292</v>
      </c>
      <c r="M395" s="2">
        <f t="shared" si="7"/>
        <v>0.03580072527</v>
      </c>
      <c r="N395" s="2">
        <f t="shared" si="8"/>
        <v>0.01223629832</v>
      </c>
      <c r="O395" s="2"/>
      <c r="P395" s="2"/>
      <c r="Q395" s="2"/>
      <c r="R395" s="4"/>
    </row>
    <row r="396" ht="14.25" customHeight="1">
      <c r="K396" s="2">
        <v>0.00394</v>
      </c>
      <c r="L396" s="2">
        <f t="shared" si="6"/>
        <v>0.00003104671805</v>
      </c>
      <c r="M396" s="2">
        <f t="shared" si="7"/>
        <v>0.03598314622</v>
      </c>
      <c r="N396" s="2">
        <f t="shared" si="8"/>
        <v>0.0122695925</v>
      </c>
      <c r="O396" s="2"/>
      <c r="P396" s="2"/>
      <c r="Q396" s="2"/>
      <c r="R396" s="4"/>
    </row>
    <row r="397" ht="14.25" customHeight="1">
      <c r="K397" s="2">
        <v>0.00395</v>
      </c>
      <c r="L397" s="2">
        <f t="shared" si="6"/>
        <v>0.00003120451314</v>
      </c>
      <c r="M397" s="2">
        <f t="shared" si="7"/>
        <v>0.03616603073</v>
      </c>
      <c r="N397" s="2">
        <f t="shared" si="8"/>
        <v>0.01230290314</v>
      </c>
      <c r="O397" s="2"/>
      <c r="P397" s="2"/>
      <c r="Q397" s="2"/>
      <c r="R397" s="4"/>
    </row>
    <row r="398" ht="14.25" customHeight="1">
      <c r="K398" s="2">
        <v>0.00396</v>
      </c>
      <c r="L398" s="2">
        <f t="shared" si="6"/>
        <v>0.00003136270819</v>
      </c>
      <c r="M398" s="2">
        <f t="shared" si="7"/>
        <v>0.03634937879</v>
      </c>
      <c r="N398" s="2">
        <f t="shared" si="8"/>
        <v>0.01233623027</v>
      </c>
      <c r="O398" s="2"/>
      <c r="P398" s="2"/>
      <c r="Q398" s="2"/>
      <c r="R398" s="4"/>
    </row>
    <row r="399" ht="14.25" customHeight="1">
      <c r="K399" s="2">
        <v>0.00397</v>
      </c>
      <c r="L399" s="2">
        <f t="shared" si="6"/>
        <v>0.0000315213032</v>
      </c>
      <c r="M399" s="2">
        <f t="shared" si="7"/>
        <v>0.03653319041</v>
      </c>
      <c r="N399" s="2">
        <f t="shared" si="8"/>
        <v>0.01236957394</v>
      </c>
      <c r="O399" s="2"/>
      <c r="P399" s="2"/>
      <c r="Q399" s="2"/>
      <c r="R399" s="4"/>
    </row>
    <row r="400" ht="14.25" customHeight="1">
      <c r="K400" s="2">
        <v>0.00398</v>
      </c>
      <c r="L400" s="2">
        <f t="shared" si="6"/>
        <v>0.00003168029818</v>
      </c>
      <c r="M400" s="2">
        <f t="shared" si="7"/>
        <v>0.03671746559</v>
      </c>
      <c r="N400" s="2">
        <f t="shared" si="8"/>
        <v>0.01240293419</v>
      </c>
      <c r="O400" s="2"/>
      <c r="P400" s="2"/>
      <c r="Q400" s="2"/>
      <c r="R400" s="4"/>
    </row>
    <row r="401" ht="14.25" customHeight="1">
      <c r="K401" s="2">
        <v>0.00399</v>
      </c>
      <c r="L401" s="2">
        <f t="shared" si="6"/>
        <v>0.00003183969312</v>
      </c>
      <c r="M401" s="2">
        <f t="shared" si="7"/>
        <v>0.03690220432</v>
      </c>
      <c r="N401" s="2">
        <f t="shared" si="8"/>
        <v>0.01243631106</v>
      </c>
      <c r="O401" s="2"/>
      <c r="P401" s="2"/>
      <c r="Q401" s="2"/>
      <c r="R401" s="4"/>
    </row>
    <row r="402" ht="14.25" customHeight="1">
      <c r="K402" s="2">
        <v>0.004</v>
      </c>
      <c r="L402" s="2">
        <f t="shared" si="6"/>
        <v>0.00003199948802</v>
      </c>
      <c r="M402" s="2">
        <f t="shared" si="7"/>
        <v>0.03708740661</v>
      </c>
      <c r="N402" s="2">
        <f t="shared" si="8"/>
        <v>0.0124697046</v>
      </c>
      <c r="O402" s="2"/>
      <c r="P402" s="2"/>
      <c r="Q402" s="2"/>
      <c r="R402" s="4"/>
    </row>
    <row r="403" ht="14.25" customHeight="1">
      <c r="K403" s="2">
        <v>0.00401</v>
      </c>
      <c r="L403" s="2">
        <f t="shared" si="6"/>
        <v>0.00003215968288</v>
      </c>
      <c r="M403" s="2">
        <f t="shared" si="7"/>
        <v>0.03727307245</v>
      </c>
      <c r="N403" s="2">
        <f t="shared" si="8"/>
        <v>0.01250311484</v>
      </c>
      <c r="O403" s="2"/>
      <c r="P403" s="2"/>
      <c r="Q403" s="2"/>
      <c r="R403" s="4"/>
    </row>
    <row r="404" ht="14.25" customHeight="1">
      <c r="K404" s="2">
        <v>0.00402</v>
      </c>
      <c r="L404" s="2">
        <f t="shared" si="6"/>
        <v>0.0000323202777</v>
      </c>
      <c r="M404" s="2">
        <f t="shared" si="7"/>
        <v>0.03745920185</v>
      </c>
      <c r="N404" s="2">
        <f t="shared" si="8"/>
        <v>0.01253654183</v>
      </c>
      <c r="O404" s="2"/>
      <c r="P404" s="2"/>
      <c r="Q404" s="2"/>
      <c r="R404" s="4"/>
    </row>
    <row r="405" ht="14.25" customHeight="1">
      <c r="K405" s="2">
        <v>0.00403</v>
      </c>
      <c r="L405" s="2">
        <f t="shared" si="6"/>
        <v>0.00003248127248</v>
      </c>
      <c r="M405" s="2">
        <f t="shared" si="7"/>
        <v>0.03764579481</v>
      </c>
      <c r="N405" s="2">
        <f t="shared" si="8"/>
        <v>0.01256998562</v>
      </c>
      <c r="O405" s="2"/>
      <c r="P405" s="2"/>
      <c r="Q405" s="2"/>
      <c r="R405" s="4"/>
    </row>
    <row r="406" ht="14.25" customHeight="1">
      <c r="K406" s="2">
        <v>0.00404</v>
      </c>
      <c r="L406" s="2">
        <f t="shared" si="6"/>
        <v>0.00003264266723</v>
      </c>
      <c r="M406" s="2">
        <f t="shared" si="7"/>
        <v>0.03783285132</v>
      </c>
      <c r="N406" s="2">
        <f t="shared" si="8"/>
        <v>0.01260344623</v>
      </c>
      <c r="O406" s="2"/>
      <c r="P406" s="2"/>
      <c r="Q406" s="2"/>
      <c r="R406" s="4"/>
    </row>
    <row r="407" ht="14.25" customHeight="1">
      <c r="K407" s="2">
        <v>0.00405</v>
      </c>
      <c r="L407" s="2">
        <f t="shared" si="6"/>
        <v>0.00003280446193</v>
      </c>
      <c r="M407" s="2">
        <f t="shared" si="7"/>
        <v>0.03802037138</v>
      </c>
      <c r="N407" s="2">
        <f t="shared" si="8"/>
        <v>0.01263692371</v>
      </c>
      <c r="O407" s="2"/>
      <c r="P407" s="2"/>
      <c r="Q407" s="2"/>
      <c r="R407" s="4"/>
    </row>
    <row r="408" ht="14.25" customHeight="1">
      <c r="K408" s="2">
        <v>0.00406</v>
      </c>
      <c r="L408" s="2">
        <f t="shared" si="6"/>
        <v>0.0000329666566</v>
      </c>
      <c r="M408" s="2">
        <f t="shared" si="7"/>
        <v>0.038208355</v>
      </c>
      <c r="N408" s="2">
        <f t="shared" si="8"/>
        <v>0.01267041811</v>
      </c>
      <c r="O408" s="2"/>
      <c r="P408" s="2"/>
      <c r="Q408" s="2"/>
      <c r="R408" s="4"/>
    </row>
    <row r="409" ht="14.25" customHeight="1">
      <c r="K409" s="2">
        <v>0.00407</v>
      </c>
      <c r="L409" s="2">
        <f t="shared" si="6"/>
        <v>0.00003312925123</v>
      </c>
      <c r="M409" s="2">
        <f t="shared" si="7"/>
        <v>0.03839680217</v>
      </c>
      <c r="N409" s="2">
        <f t="shared" si="8"/>
        <v>0.01270392947</v>
      </c>
      <c r="O409" s="2"/>
      <c r="P409" s="2"/>
      <c r="Q409" s="2"/>
      <c r="R409" s="4"/>
    </row>
    <row r="410" ht="14.25" customHeight="1">
      <c r="K410" s="2">
        <v>0.00408</v>
      </c>
      <c r="L410" s="2">
        <f t="shared" si="6"/>
        <v>0.00003329224581</v>
      </c>
      <c r="M410" s="2">
        <f t="shared" si="7"/>
        <v>0.0385857129</v>
      </c>
      <c r="N410" s="2">
        <f t="shared" si="8"/>
        <v>0.01273745783</v>
      </c>
      <c r="O410" s="2"/>
      <c r="P410" s="2"/>
      <c r="Q410" s="2"/>
      <c r="R410" s="4"/>
    </row>
    <row r="411" ht="14.25" customHeight="1">
      <c r="K411" s="2">
        <v>0.00409</v>
      </c>
      <c r="L411" s="2">
        <f t="shared" si="6"/>
        <v>0.00003345564036</v>
      </c>
      <c r="M411" s="2">
        <f t="shared" si="7"/>
        <v>0.03877508718</v>
      </c>
      <c r="N411" s="2">
        <f t="shared" si="8"/>
        <v>0.01277100322</v>
      </c>
      <c r="O411" s="2"/>
      <c r="P411" s="2"/>
      <c r="Q411" s="2"/>
      <c r="R411" s="4"/>
    </row>
    <row r="412" ht="14.25" customHeight="1">
      <c r="K412" s="2">
        <v>0.0041</v>
      </c>
      <c r="L412" s="2">
        <f t="shared" si="6"/>
        <v>0.00003361943487</v>
      </c>
      <c r="M412" s="2">
        <f t="shared" si="7"/>
        <v>0.03896492501</v>
      </c>
      <c r="N412" s="2">
        <f t="shared" si="8"/>
        <v>0.0128045657</v>
      </c>
      <c r="O412" s="2"/>
      <c r="P412" s="2"/>
      <c r="Q412" s="2"/>
      <c r="R412" s="4"/>
    </row>
    <row r="413" ht="14.25" customHeight="1">
      <c r="K413" s="2">
        <v>0.00411</v>
      </c>
      <c r="L413" s="2">
        <f t="shared" si="6"/>
        <v>0.00003378362933</v>
      </c>
      <c r="M413" s="2">
        <f t="shared" si="7"/>
        <v>0.0391552264</v>
      </c>
      <c r="N413" s="2">
        <f t="shared" si="8"/>
        <v>0.0128381453</v>
      </c>
      <c r="O413" s="2"/>
      <c r="P413" s="2"/>
      <c r="Q413" s="2"/>
      <c r="R413" s="4"/>
    </row>
    <row r="414" ht="14.25" customHeight="1">
      <c r="K414" s="2">
        <v>0.00412</v>
      </c>
      <c r="L414" s="2">
        <f t="shared" si="6"/>
        <v>0.00003394822376</v>
      </c>
      <c r="M414" s="2">
        <f t="shared" si="7"/>
        <v>0.03934599134</v>
      </c>
      <c r="N414" s="2">
        <f t="shared" si="8"/>
        <v>0.01287174207</v>
      </c>
      <c r="O414" s="2"/>
      <c r="P414" s="2"/>
      <c r="Q414" s="2"/>
      <c r="R414" s="4"/>
    </row>
    <row r="415" ht="14.25" customHeight="1">
      <c r="K415" s="2">
        <v>0.00413</v>
      </c>
      <c r="L415" s="2">
        <f t="shared" si="6"/>
        <v>0.00003411321814</v>
      </c>
      <c r="M415" s="2">
        <f t="shared" si="7"/>
        <v>0.03953721983</v>
      </c>
      <c r="N415" s="2">
        <f t="shared" si="8"/>
        <v>0.01290535604</v>
      </c>
      <c r="O415" s="2"/>
      <c r="P415" s="2"/>
      <c r="Q415" s="2"/>
      <c r="R415" s="4"/>
    </row>
    <row r="416" ht="14.25" customHeight="1">
      <c r="K416" s="2">
        <v>0.00414</v>
      </c>
      <c r="L416" s="2">
        <f t="shared" si="6"/>
        <v>0.00003427861249</v>
      </c>
      <c r="M416" s="2">
        <f t="shared" si="7"/>
        <v>0.03972891187</v>
      </c>
      <c r="N416" s="2">
        <f t="shared" si="8"/>
        <v>0.01293898726</v>
      </c>
      <c r="O416" s="2"/>
      <c r="P416" s="2"/>
      <c r="Q416" s="2"/>
      <c r="R416" s="4"/>
    </row>
    <row r="417" ht="14.25" customHeight="1">
      <c r="K417" s="2">
        <v>0.00415</v>
      </c>
      <c r="L417" s="2">
        <f t="shared" si="6"/>
        <v>0.00003444440679</v>
      </c>
      <c r="M417" s="2">
        <f t="shared" si="7"/>
        <v>0.03992106747</v>
      </c>
      <c r="N417" s="2">
        <f t="shared" si="8"/>
        <v>0.01297263578</v>
      </c>
      <c r="O417" s="2"/>
      <c r="P417" s="2"/>
      <c r="Q417" s="2"/>
      <c r="R417" s="4"/>
    </row>
    <row r="418" ht="14.25" customHeight="1">
      <c r="K418" s="2">
        <v>0.00416</v>
      </c>
      <c r="L418" s="2">
        <f t="shared" si="6"/>
        <v>0.00003461060105</v>
      </c>
      <c r="M418" s="2">
        <f t="shared" si="7"/>
        <v>0.04011368662</v>
      </c>
      <c r="N418" s="2">
        <f t="shared" si="8"/>
        <v>0.01300630162</v>
      </c>
      <c r="O418" s="2"/>
      <c r="P418" s="2"/>
      <c r="Q418" s="2"/>
      <c r="R418" s="4"/>
    </row>
    <row r="419" ht="14.25" customHeight="1">
      <c r="K419" s="2">
        <v>0.00417</v>
      </c>
      <c r="L419" s="2">
        <f t="shared" si="6"/>
        <v>0.00003477719527</v>
      </c>
      <c r="M419" s="2">
        <f t="shared" si="7"/>
        <v>0.04030676932</v>
      </c>
      <c r="N419" s="2">
        <f t="shared" si="8"/>
        <v>0.01303998484</v>
      </c>
      <c r="O419" s="2"/>
      <c r="P419" s="2"/>
      <c r="Q419" s="2"/>
      <c r="R419" s="4"/>
    </row>
    <row r="420" ht="14.25" customHeight="1">
      <c r="K420" s="2">
        <v>0.00418</v>
      </c>
      <c r="L420" s="2">
        <f t="shared" si="6"/>
        <v>0.00003494418945</v>
      </c>
      <c r="M420" s="2">
        <f t="shared" si="7"/>
        <v>0.04050031557</v>
      </c>
      <c r="N420" s="2">
        <f t="shared" si="8"/>
        <v>0.01307368548</v>
      </c>
      <c r="O420" s="2"/>
      <c r="P420" s="2"/>
      <c r="Q420" s="2"/>
      <c r="R420" s="4"/>
    </row>
    <row r="421" ht="14.25" customHeight="1">
      <c r="K421" s="2">
        <v>0.00419</v>
      </c>
      <c r="L421" s="2">
        <f t="shared" si="6"/>
        <v>0.00003511158359</v>
      </c>
      <c r="M421" s="2">
        <f t="shared" si="7"/>
        <v>0.04069432538</v>
      </c>
      <c r="N421" s="2">
        <f t="shared" si="8"/>
        <v>0.01310740357</v>
      </c>
      <c r="O421" s="2"/>
      <c r="P421" s="2"/>
      <c r="Q421" s="2"/>
      <c r="R421" s="4"/>
    </row>
    <row r="422" ht="14.25" customHeight="1">
      <c r="K422" s="2">
        <v>0.0042</v>
      </c>
      <c r="L422" s="2">
        <f t="shared" si="6"/>
        <v>0.00003527937768</v>
      </c>
      <c r="M422" s="2">
        <f t="shared" si="7"/>
        <v>0.04088879873</v>
      </c>
      <c r="N422" s="2">
        <f t="shared" si="8"/>
        <v>0.01314113916</v>
      </c>
      <c r="O422" s="2"/>
      <c r="P422" s="2"/>
      <c r="Q422" s="2"/>
      <c r="R422" s="4"/>
    </row>
    <row r="423" ht="14.25" customHeight="1">
      <c r="K423" s="2">
        <v>0.00421</v>
      </c>
      <c r="L423" s="2">
        <f t="shared" si="6"/>
        <v>0.00003544757173</v>
      </c>
      <c r="M423" s="2">
        <f t="shared" si="7"/>
        <v>0.04108373564</v>
      </c>
      <c r="N423" s="2">
        <f t="shared" si="8"/>
        <v>0.0131748923</v>
      </c>
      <c r="O423" s="2"/>
      <c r="P423" s="2"/>
      <c r="Q423" s="2"/>
      <c r="R423" s="4"/>
    </row>
    <row r="424" ht="14.25" customHeight="1">
      <c r="K424" s="2">
        <v>0.00422</v>
      </c>
      <c r="L424" s="2">
        <f t="shared" si="6"/>
        <v>0.00003561616574</v>
      </c>
      <c r="M424" s="2">
        <f t="shared" si="7"/>
        <v>0.0412791361</v>
      </c>
      <c r="N424" s="2">
        <f t="shared" si="8"/>
        <v>0.01320866301</v>
      </c>
      <c r="O424" s="2"/>
      <c r="P424" s="2"/>
      <c r="Q424" s="2"/>
      <c r="R424" s="4"/>
    </row>
    <row r="425" ht="14.25" customHeight="1">
      <c r="K425" s="2">
        <v>0.00423</v>
      </c>
      <c r="L425" s="2">
        <f t="shared" si="6"/>
        <v>0.00003578515971</v>
      </c>
      <c r="M425" s="2">
        <f t="shared" si="7"/>
        <v>0.04147500011</v>
      </c>
      <c r="N425" s="2">
        <f t="shared" si="8"/>
        <v>0.01324245135</v>
      </c>
      <c r="O425" s="2"/>
      <c r="P425" s="2"/>
      <c r="Q425" s="2"/>
      <c r="R425" s="4"/>
    </row>
    <row r="426" ht="14.25" customHeight="1">
      <c r="K426" s="2">
        <v>0.00424</v>
      </c>
      <c r="L426" s="2">
        <f t="shared" si="6"/>
        <v>0.00003595455364</v>
      </c>
      <c r="M426" s="2">
        <f t="shared" si="7"/>
        <v>0.04167132766</v>
      </c>
      <c r="N426" s="2">
        <f t="shared" si="8"/>
        <v>0.01327625736</v>
      </c>
      <c r="O426" s="2"/>
      <c r="P426" s="2"/>
      <c r="Q426" s="2"/>
      <c r="R426" s="4"/>
    </row>
    <row r="427" ht="14.25" customHeight="1">
      <c r="K427" s="2">
        <v>0.00425</v>
      </c>
      <c r="L427" s="2">
        <f t="shared" si="6"/>
        <v>0.00003612434752</v>
      </c>
      <c r="M427" s="2">
        <f t="shared" si="7"/>
        <v>0.04186811877</v>
      </c>
      <c r="N427" s="2">
        <f t="shared" si="8"/>
        <v>0.01331008108</v>
      </c>
      <c r="O427" s="2"/>
      <c r="P427" s="2"/>
      <c r="Q427" s="2"/>
      <c r="R427" s="4"/>
    </row>
    <row r="428" ht="14.25" customHeight="1">
      <c r="K428" s="2">
        <v>0.00426</v>
      </c>
      <c r="L428" s="2">
        <f t="shared" si="6"/>
        <v>0.00003629454135</v>
      </c>
      <c r="M428" s="2">
        <f t="shared" si="7"/>
        <v>0.04206537343</v>
      </c>
      <c r="N428" s="2">
        <f t="shared" si="8"/>
        <v>0.01334392254</v>
      </c>
      <c r="O428" s="2"/>
      <c r="P428" s="2"/>
      <c r="Q428" s="2"/>
      <c r="R428" s="4"/>
    </row>
    <row r="429" ht="14.25" customHeight="1">
      <c r="K429" s="2">
        <v>0.00427</v>
      </c>
      <c r="L429" s="2">
        <f t="shared" si="6"/>
        <v>0.00003646513515</v>
      </c>
      <c r="M429" s="2">
        <f t="shared" si="7"/>
        <v>0.04226309164</v>
      </c>
      <c r="N429" s="2">
        <f t="shared" si="8"/>
        <v>0.0133777818</v>
      </c>
      <c r="O429" s="2"/>
      <c r="P429" s="2"/>
      <c r="Q429" s="2"/>
      <c r="R429" s="4"/>
    </row>
    <row r="430" ht="14.25" customHeight="1">
      <c r="K430" s="2">
        <v>0.00428</v>
      </c>
      <c r="L430" s="2">
        <f t="shared" si="6"/>
        <v>0.0000366361289</v>
      </c>
      <c r="M430" s="2">
        <f t="shared" si="7"/>
        <v>0.04246127339</v>
      </c>
      <c r="N430" s="2">
        <f t="shared" si="8"/>
        <v>0.01341165889</v>
      </c>
      <c r="O430" s="2"/>
      <c r="P430" s="2"/>
      <c r="Q430" s="2"/>
      <c r="R430" s="4"/>
    </row>
    <row r="431" ht="14.25" customHeight="1">
      <c r="K431" s="2">
        <v>0.00429</v>
      </c>
      <c r="L431" s="2">
        <f t="shared" si="6"/>
        <v>0.0000368075226</v>
      </c>
      <c r="M431" s="2">
        <f t="shared" si="7"/>
        <v>0.0426599187</v>
      </c>
      <c r="N431" s="2">
        <f t="shared" si="8"/>
        <v>0.01344555385</v>
      </c>
      <c r="O431" s="2"/>
      <c r="P431" s="2"/>
      <c r="Q431" s="2"/>
      <c r="R431" s="4"/>
    </row>
    <row r="432" ht="14.25" customHeight="1">
      <c r="K432" s="2">
        <v>0.0043</v>
      </c>
      <c r="L432" s="2">
        <f t="shared" si="6"/>
        <v>0.00003697931627</v>
      </c>
      <c r="M432" s="2">
        <f t="shared" si="7"/>
        <v>0.04285902755</v>
      </c>
      <c r="N432" s="2">
        <f t="shared" si="8"/>
        <v>0.01347946674</v>
      </c>
      <c r="O432" s="2"/>
      <c r="P432" s="2"/>
      <c r="Q432" s="2"/>
      <c r="R432" s="4"/>
    </row>
    <row r="433" ht="14.25" customHeight="1">
      <c r="K433" s="2">
        <v>0.00431</v>
      </c>
      <c r="L433" s="2">
        <f t="shared" si="6"/>
        <v>0.00003715150988</v>
      </c>
      <c r="M433" s="2">
        <f t="shared" si="7"/>
        <v>0.04305859995</v>
      </c>
      <c r="N433" s="2">
        <f t="shared" si="8"/>
        <v>0.01351339758</v>
      </c>
      <c r="O433" s="2"/>
      <c r="P433" s="2"/>
      <c r="Q433" s="2"/>
      <c r="R433" s="4"/>
    </row>
    <row r="434" ht="14.25" customHeight="1">
      <c r="K434" s="2">
        <v>0.00432</v>
      </c>
      <c r="L434" s="2">
        <f t="shared" si="6"/>
        <v>0.00003732410346</v>
      </c>
      <c r="M434" s="2">
        <f t="shared" si="7"/>
        <v>0.04325863591</v>
      </c>
      <c r="N434" s="2">
        <f t="shared" si="8"/>
        <v>0.01354734642</v>
      </c>
      <c r="O434" s="2"/>
      <c r="P434" s="2"/>
      <c r="Q434" s="2"/>
      <c r="R434" s="4"/>
    </row>
    <row r="435" ht="14.25" customHeight="1">
      <c r="K435" s="2">
        <v>0.00433</v>
      </c>
      <c r="L435" s="2">
        <f t="shared" si="6"/>
        <v>0.00003749709698</v>
      </c>
      <c r="M435" s="2">
        <f t="shared" si="7"/>
        <v>0.0434591354</v>
      </c>
      <c r="N435" s="2">
        <f t="shared" si="8"/>
        <v>0.0135813133</v>
      </c>
      <c r="O435" s="2"/>
      <c r="P435" s="2"/>
      <c r="Q435" s="2"/>
      <c r="R435" s="4"/>
    </row>
    <row r="436" ht="14.25" customHeight="1">
      <c r="K436" s="2">
        <v>0.00434</v>
      </c>
      <c r="L436" s="2">
        <f t="shared" si="6"/>
        <v>0.00003767049047</v>
      </c>
      <c r="M436" s="2">
        <f t="shared" si="7"/>
        <v>0.04366009845</v>
      </c>
      <c r="N436" s="2">
        <f t="shared" si="8"/>
        <v>0.01361529827</v>
      </c>
      <c r="O436" s="2"/>
      <c r="P436" s="2"/>
      <c r="Q436" s="2"/>
      <c r="R436" s="4"/>
    </row>
    <row r="437" ht="14.25" customHeight="1">
      <c r="K437" s="2">
        <v>0.00435</v>
      </c>
      <c r="L437" s="2">
        <f t="shared" si="6"/>
        <v>0.00003784428391</v>
      </c>
      <c r="M437" s="2">
        <f t="shared" si="7"/>
        <v>0.04386152505</v>
      </c>
      <c r="N437" s="2">
        <f t="shared" si="8"/>
        <v>0.01364930136</v>
      </c>
      <c r="O437" s="2"/>
      <c r="P437" s="2"/>
      <c r="Q437" s="2"/>
      <c r="R437" s="4"/>
    </row>
    <row r="438" ht="14.25" customHeight="1">
      <c r="K438" s="2">
        <v>0.00436</v>
      </c>
      <c r="L438" s="2">
        <f t="shared" si="6"/>
        <v>0.0000380184773</v>
      </c>
      <c r="M438" s="2">
        <f t="shared" si="7"/>
        <v>0.04406341519</v>
      </c>
      <c r="N438" s="2">
        <f t="shared" si="8"/>
        <v>0.01368332262</v>
      </c>
      <c r="O438" s="2"/>
      <c r="P438" s="2"/>
      <c r="Q438" s="2"/>
      <c r="R438" s="4"/>
    </row>
    <row r="439" ht="14.25" customHeight="1">
      <c r="K439" s="2">
        <v>0.00437</v>
      </c>
      <c r="L439" s="2">
        <f t="shared" si="6"/>
        <v>0.00003819307064</v>
      </c>
      <c r="M439" s="2">
        <f t="shared" si="7"/>
        <v>0.04426576888</v>
      </c>
      <c r="N439" s="2">
        <f t="shared" si="8"/>
        <v>0.01371736209</v>
      </c>
      <c r="O439" s="2"/>
      <c r="P439" s="2"/>
      <c r="Q439" s="2"/>
      <c r="R439" s="4"/>
    </row>
    <row r="440" ht="14.25" customHeight="1">
      <c r="K440" s="2">
        <v>0.00438</v>
      </c>
      <c r="L440" s="2">
        <f t="shared" si="6"/>
        <v>0.00003836806395</v>
      </c>
      <c r="M440" s="2">
        <f t="shared" si="7"/>
        <v>0.04446858611</v>
      </c>
      <c r="N440" s="2">
        <f t="shared" si="8"/>
        <v>0.01375141981</v>
      </c>
      <c r="O440" s="2"/>
      <c r="P440" s="2"/>
      <c r="Q440" s="2"/>
      <c r="R440" s="4"/>
    </row>
    <row r="441" ht="14.25" customHeight="1">
      <c r="K441" s="2">
        <v>0.00439</v>
      </c>
      <c r="L441" s="2">
        <f t="shared" si="6"/>
        <v>0.0000385434572</v>
      </c>
      <c r="M441" s="2">
        <f t="shared" si="7"/>
        <v>0.0446718669</v>
      </c>
      <c r="N441" s="2">
        <f t="shared" si="8"/>
        <v>0.01378549582</v>
      </c>
      <c r="O441" s="2"/>
      <c r="P441" s="2"/>
      <c r="Q441" s="2"/>
      <c r="R441" s="4"/>
    </row>
    <row r="442" ht="14.25" customHeight="1">
      <c r="K442" s="2">
        <v>0.0044</v>
      </c>
      <c r="L442" s="2">
        <f t="shared" si="6"/>
        <v>0.00003871925041</v>
      </c>
      <c r="M442" s="2">
        <f t="shared" si="7"/>
        <v>0.04487561123</v>
      </c>
      <c r="N442" s="2">
        <f t="shared" si="8"/>
        <v>0.01381959017</v>
      </c>
      <c r="O442" s="2"/>
      <c r="P442" s="2"/>
      <c r="Q442" s="2"/>
      <c r="R442" s="4"/>
    </row>
    <row r="443" ht="14.25" customHeight="1">
      <c r="K443" s="2">
        <v>0.00441</v>
      </c>
      <c r="L443" s="2">
        <f t="shared" si="6"/>
        <v>0.00003889544357</v>
      </c>
      <c r="M443" s="2">
        <f t="shared" si="7"/>
        <v>0.0450798191</v>
      </c>
      <c r="N443" s="2">
        <f t="shared" si="8"/>
        <v>0.01385370289</v>
      </c>
      <c r="O443" s="2"/>
      <c r="P443" s="2"/>
      <c r="Q443" s="2"/>
      <c r="R443" s="4"/>
    </row>
    <row r="444" ht="14.25" customHeight="1">
      <c r="K444" s="2">
        <v>0.00442</v>
      </c>
      <c r="L444" s="2">
        <f t="shared" si="6"/>
        <v>0.00003907203669</v>
      </c>
      <c r="M444" s="2">
        <f t="shared" si="7"/>
        <v>0.04528449052</v>
      </c>
      <c r="N444" s="2">
        <f t="shared" si="8"/>
        <v>0.01388783403</v>
      </c>
      <c r="O444" s="2"/>
      <c r="P444" s="2"/>
      <c r="Q444" s="2"/>
      <c r="R444" s="4"/>
    </row>
    <row r="445" ht="14.25" customHeight="1">
      <c r="K445" s="2">
        <v>0.00443</v>
      </c>
      <c r="L445" s="2">
        <f t="shared" si="6"/>
        <v>0.00003924902976</v>
      </c>
      <c r="M445" s="2">
        <f t="shared" si="7"/>
        <v>0.04548962549</v>
      </c>
      <c r="N445" s="2">
        <f t="shared" si="8"/>
        <v>0.01392198363</v>
      </c>
      <c r="O445" s="2"/>
      <c r="P445" s="2"/>
      <c r="Q445" s="2"/>
      <c r="R445" s="4"/>
    </row>
    <row r="446" ht="14.25" customHeight="1">
      <c r="K446" s="2">
        <v>0.00444</v>
      </c>
      <c r="L446" s="2">
        <f t="shared" si="6"/>
        <v>0.00003942642278</v>
      </c>
      <c r="M446" s="2">
        <f t="shared" si="7"/>
        <v>0.045695224</v>
      </c>
      <c r="N446" s="2">
        <f t="shared" si="8"/>
        <v>0.01395615174</v>
      </c>
      <c r="O446" s="2"/>
      <c r="P446" s="2"/>
      <c r="Q446" s="2"/>
      <c r="R446" s="4"/>
    </row>
    <row r="447" ht="14.25" customHeight="1">
      <c r="K447" s="2">
        <v>0.00445</v>
      </c>
      <c r="L447" s="2">
        <f t="shared" si="6"/>
        <v>0.00003960421575</v>
      </c>
      <c r="M447" s="2">
        <f t="shared" si="7"/>
        <v>0.04590128606</v>
      </c>
      <c r="N447" s="2">
        <f t="shared" si="8"/>
        <v>0.01399033838</v>
      </c>
      <c r="O447" s="2"/>
      <c r="P447" s="2"/>
      <c r="Q447" s="2"/>
      <c r="R447" s="4"/>
    </row>
    <row r="448" ht="14.25" customHeight="1">
      <c r="K448" s="2">
        <v>0.00446</v>
      </c>
      <c r="L448" s="2">
        <f t="shared" si="6"/>
        <v>0.00003978240868</v>
      </c>
      <c r="M448" s="2">
        <f t="shared" si="7"/>
        <v>0.04610781166</v>
      </c>
      <c r="N448" s="2">
        <f t="shared" si="8"/>
        <v>0.01402454361</v>
      </c>
      <c r="O448" s="2"/>
      <c r="P448" s="2"/>
      <c r="Q448" s="2"/>
      <c r="R448" s="4"/>
    </row>
    <row r="449" ht="14.25" customHeight="1">
      <c r="K449" s="2">
        <v>0.00447</v>
      </c>
      <c r="L449" s="2">
        <f t="shared" si="6"/>
        <v>0.00003996100156</v>
      </c>
      <c r="M449" s="2">
        <f t="shared" si="7"/>
        <v>0.04631480081</v>
      </c>
      <c r="N449" s="2">
        <f t="shared" si="8"/>
        <v>0.01405876747</v>
      </c>
      <c r="O449" s="2"/>
      <c r="P449" s="2"/>
      <c r="Q449" s="2"/>
      <c r="R449" s="4"/>
    </row>
    <row r="450" ht="14.25" customHeight="1">
      <c r="K450" s="2">
        <v>0.00448</v>
      </c>
      <c r="L450" s="2">
        <f t="shared" si="6"/>
        <v>0.00004013999439</v>
      </c>
      <c r="M450" s="2">
        <f t="shared" si="7"/>
        <v>0.0465222535</v>
      </c>
      <c r="N450" s="2">
        <f t="shared" si="8"/>
        <v>0.01409300999</v>
      </c>
      <c r="O450" s="2"/>
      <c r="P450" s="2"/>
      <c r="Q450" s="2"/>
      <c r="R450" s="4"/>
    </row>
    <row r="451" ht="14.25" customHeight="1">
      <c r="K451" s="2">
        <v>0.00449</v>
      </c>
      <c r="L451" s="2">
        <f t="shared" si="6"/>
        <v>0.00004031938717</v>
      </c>
      <c r="M451" s="2">
        <f t="shared" si="7"/>
        <v>0.04673016973</v>
      </c>
      <c r="N451" s="2">
        <f t="shared" si="8"/>
        <v>0.01412727123</v>
      </c>
      <c r="O451" s="2"/>
      <c r="P451" s="2"/>
      <c r="Q451" s="2"/>
      <c r="R451" s="4"/>
    </row>
    <row r="452" ht="14.25" customHeight="1">
      <c r="K452" s="2">
        <v>0.0045</v>
      </c>
      <c r="L452" s="2">
        <f t="shared" si="6"/>
        <v>0.00004049917991</v>
      </c>
      <c r="M452" s="2">
        <f t="shared" si="7"/>
        <v>0.04693854951</v>
      </c>
      <c r="N452" s="2">
        <f t="shared" si="8"/>
        <v>0.01416155121</v>
      </c>
      <c r="O452" s="2"/>
      <c r="P452" s="2"/>
      <c r="Q452" s="2"/>
      <c r="R452" s="4"/>
    </row>
    <row r="453" ht="14.25" customHeight="1">
      <c r="K453" s="2">
        <v>0.00451</v>
      </c>
      <c r="L453" s="2">
        <f t="shared" si="6"/>
        <v>0.00004067937259</v>
      </c>
      <c r="M453" s="2">
        <f t="shared" si="7"/>
        <v>0.04714739284</v>
      </c>
      <c r="N453" s="2">
        <f t="shared" si="8"/>
        <v>0.01419584999</v>
      </c>
      <c r="O453" s="2"/>
      <c r="P453" s="2"/>
      <c r="Q453" s="2"/>
      <c r="R453" s="4"/>
    </row>
    <row r="454" ht="14.25" customHeight="1">
      <c r="K454" s="2">
        <v>0.00452</v>
      </c>
      <c r="L454" s="2">
        <f t="shared" si="6"/>
        <v>0.00004085996523</v>
      </c>
      <c r="M454" s="2">
        <f t="shared" si="7"/>
        <v>0.0473566997</v>
      </c>
      <c r="N454" s="2">
        <f t="shared" si="8"/>
        <v>0.01423016761</v>
      </c>
      <c r="O454" s="2"/>
      <c r="P454" s="2"/>
      <c r="Q454" s="2"/>
      <c r="R454" s="4"/>
    </row>
    <row r="455" ht="14.25" customHeight="1">
      <c r="K455" s="2">
        <v>0.00453</v>
      </c>
      <c r="L455" s="2">
        <f t="shared" si="6"/>
        <v>0.00004104095782</v>
      </c>
      <c r="M455" s="2">
        <f t="shared" si="7"/>
        <v>0.04756647011</v>
      </c>
      <c r="N455" s="2">
        <f t="shared" si="8"/>
        <v>0.0142645041</v>
      </c>
      <c r="O455" s="2"/>
      <c r="P455" s="2"/>
      <c r="Q455" s="2"/>
      <c r="R455" s="4"/>
    </row>
    <row r="456" ht="14.25" customHeight="1">
      <c r="K456" s="2">
        <v>0.00454</v>
      </c>
      <c r="L456" s="2">
        <f t="shared" si="6"/>
        <v>0.00004122235036</v>
      </c>
      <c r="M456" s="2">
        <f t="shared" si="7"/>
        <v>0.04777670407</v>
      </c>
      <c r="N456" s="2">
        <f t="shared" si="8"/>
        <v>0.01429885951</v>
      </c>
      <c r="O456" s="2"/>
      <c r="P456" s="2"/>
      <c r="Q456" s="2"/>
      <c r="R456" s="4"/>
    </row>
    <row r="457" ht="14.25" customHeight="1">
      <c r="K457" s="2">
        <v>0.00455</v>
      </c>
      <c r="L457" s="2">
        <f t="shared" si="6"/>
        <v>0.00004140414285</v>
      </c>
      <c r="M457" s="2">
        <f t="shared" si="7"/>
        <v>0.04798740156</v>
      </c>
      <c r="N457" s="2">
        <f t="shared" si="8"/>
        <v>0.01433323388</v>
      </c>
      <c r="O457" s="2"/>
      <c r="P457" s="2"/>
      <c r="Q457" s="2"/>
      <c r="R457" s="4"/>
    </row>
    <row r="458" ht="14.25" customHeight="1">
      <c r="K458" s="2">
        <v>0.00456</v>
      </c>
      <c r="L458" s="2">
        <f t="shared" si="6"/>
        <v>0.00004158633529</v>
      </c>
      <c r="M458" s="2">
        <f t="shared" si="7"/>
        <v>0.0481985626</v>
      </c>
      <c r="N458" s="2">
        <f t="shared" si="8"/>
        <v>0.01436762726</v>
      </c>
      <c r="O458" s="2"/>
      <c r="P458" s="2"/>
      <c r="Q458" s="2"/>
      <c r="R458" s="4"/>
    </row>
    <row r="459" ht="14.25" customHeight="1">
      <c r="K459" s="2">
        <v>0.00457</v>
      </c>
      <c r="L459" s="2">
        <f t="shared" si="6"/>
        <v>0.00004176892768</v>
      </c>
      <c r="M459" s="2">
        <f t="shared" si="7"/>
        <v>0.04841018718</v>
      </c>
      <c r="N459" s="2">
        <f t="shared" si="8"/>
        <v>0.01440203968</v>
      </c>
      <c r="O459" s="2"/>
      <c r="P459" s="2"/>
      <c r="Q459" s="2"/>
      <c r="R459" s="4"/>
    </row>
    <row r="460" ht="14.25" customHeight="1">
      <c r="K460" s="2">
        <v>0.00458</v>
      </c>
      <c r="L460" s="2">
        <f t="shared" si="6"/>
        <v>0.00004195192002</v>
      </c>
      <c r="M460" s="2">
        <f t="shared" si="7"/>
        <v>0.0486222753</v>
      </c>
      <c r="N460" s="2">
        <f t="shared" si="8"/>
        <v>0.01443647118</v>
      </c>
      <c r="O460" s="2"/>
      <c r="P460" s="2"/>
      <c r="Q460" s="2"/>
      <c r="R460" s="4"/>
    </row>
    <row r="461" ht="14.25" customHeight="1">
      <c r="K461" s="2">
        <v>0.00459</v>
      </c>
      <c r="L461" s="2">
        <f t="shared" si="6"/>
        <v>0.00004213531231</v>
      </c>
      <c r="M461" s="2">
        <f t="shared" si="7"/>
        <v>0.04883482696</v>
      </c>
      <c r="N461" s="2">
        <f t="shared" si="8"/>
        <v>0.01447092181</v>
      </c>
      <c r="O461" s="2"/>
      <c r="P461" s="2"/>
      <c r="Q461" s="2"/>
      <c r="R461" s="4"/>
    </row>
    <row r="462" ht="14.25" customHeight="1">
      <c r="K462" s="2">
        <v>0.0046</v>
      </c>
      <c r="L462" s="2">
        <f t="shared" si="6"/>
        <v>0.00004231910455</v>
      </c>
      <c r="M462" s="2">
        <f t="shared" si="7"/>
        <v>0.04904784217</v>
      </c>
      <c r="N462" s="2">
        <f t="shared" si="8"/>
        <v>0.01450539161</v>
      </c>
      <c r="O462" s="2"/>
      <c r="P462" s="2"/>
      <c r="Q462" s="2"/>
      <c r="R462" s="4"/>
    </row>
    <row r="463" ht="14.25" customHeight="1">
      <c r="K463" s="2">
        <v>0.00461</v>
      </c>
      <c r="L463" s="2">
        <f t="shared" si="6"/>
        <v>0.00004250329673</v>
      </c>
      <c r="M463" s="2">
        <f t="shared" si="7"/>
        <v>0.04926132092</v>
      </c>
      <c r="N463" s="2">
        <f t="shared" si="8"/>
        <v>0.01453988062</v>
      </c>
      <c r="O463" s="2"/>
      <c r="P463" s="2"/>
      <c r="Q463" s="2"/>
      <c r="R463" s="4"/>
    </row>
    <row r="464" ht="14.25" customHeight="1">
      <c r="K464" s="2">
        <v>0.00462</v>
      </c>
      <c r="L464" s="2">
        <f t="shared" si="6"/>
        <v>0.00004268788887</v>
      </c>
      <c r="M464" s="2">
        <f t="shared" si="7"/>
        <v>0.0494752632</v>
      </c>
      <c r="N464" s="2">
        <f t="shared" si="8"/>
        <v>0.01457438889</v>
      </c>
      <c r="O464" s="2"/>
      <c r="P464" s="2"/>
      <c r="Q464" s="2"/>
      <c r="R464" s="4"/>
    </row>
    <row r="465" ht="14.25" customHeight="1">
      <c r="K465" s="2">
        <v>0.00463</v>
      </c>
      <c r="L465" s="2">
        <f t="shared" si="6"/>
        <v>0.00004287288096</v>
      </c>
      <c r="M465" s="2">
        <f t="shared" si="7"/>
        <v>0.04968966903</v>
      </c>
      <c r="N465" s="2">
        <f t="shared" si="8"/>
        <v>0.01460891645</v>
      </c>
      <c r="O465" s="2"/>
      <c r="P465" s="2"/>
      <c r="Q465" s="2"/>
      <c r="R465" s="4"/>
    </row>
    <row r="466" ht="14.25" customHeight="1">
      <c r="K466" s="2">
        <v>0.00464</v>
      </c>
      <c r="L466" s="2">
        <f t="shared" si="6"/>
        <v>0.00004305827299</v>
      </c>
      <c r="M466" s="2">
        <f t="shared" si="7"/>
        <v>0.0499045384</v>
      </c>
      <c r="N466" s="2">
        <f t="shared" si="8"/>
        <v>0.01464346334</v>
      </c>
      <c r="O466" s="2"/>
      <c r="P466" s="2"/>
      <c r="Q466" s="2"/>
      <c r="R466" s="4"/>
    </row>
    <row r="467" ht="14.25" customHeight="1">
      <c r="K467" s="2">
        <v>0.00465</v>
      </c>
      <c r="L467" s="2">
        <f t="shared" si="6"/>
        <v>0.00004324406498</v>
      </c>
      <c r="M467" s="2">
        <f t="shared" si="7"/>
        <v>0.05011987131</v>
      </c>
      <c r="N467" s="2">
        <f t="shared" si="8"/>
        <v>0.01467802962</v>
      </c>
      <c r="O467" s="2"/>
      <c r="P467" s="2"/>
      <c r="Q467" s="2"/>
      <c r="R467" s="4"/>
    </row>
    <row r="468" ht="14.25" customHeight="1">
      <c r="K468" s="2">
        <v>0.00466</v>
      </c>
      <c r="L468" s="2">
        <f t="shared" si="6"/>
        <v>0.00004343025691</v>
      </c>
      <c r="M468" s="2">
        <f t="shared" si="7"/>
        <v>0.05033566775</v>
      </c>
      <c r="N468" s="2">
        <f t="shared" si="8"/>
        <v>0.01471261531</v>
      </c>
      <c r="O468" s="2"/>
      <c r="P468" s="2"/>
      <c r="Q468" s="2"/>
      <c r="R468" s="4"/>
    </row>
    <row r="469" ht="14.25" customHeight="1">
      <c r="K469" s="2">
        <v>0.00467</v>
      </c>
      <c r="L469" s="2">
        <f t="shared" si="6"/>
        <v>0.00004361684879</v>
      </c>
      <c r="M469" s="2">
        <f t="shared" si="7"/>
        <v>0.05055192774</v>
      </c>
      <c r="N469" s="2">
        <f t="shared" si="8"/>
        <v>0.01474722046</v>
      </c>
      <c r="O469" s="2"/>
      <c r="P469" s="2"/>
      <c r="Q469" s="2"/>
      <c r="R469" s="4"/>
    </row>
    <row r="470" ht="14.25" customHeight="1">
      <c r="K470" s="2">
        <v>0.00468</v>
      </c>
      <c r="L470" s="2">
        <f t="shared" si="6"/>
        <v>0.00004380384061</v>
      </c>
      <c r="M470" s="2">
        <f t="shared" si="7"/>
        <v>0.05076865127</v>
      </c>
      <c r="N470" s="2">
        <f t="shared" si="8"/>
        <v>0.01478184512</v>
      </c>
      <c r="O470" s="2"/>
      <c r="P470" s="2"/>
      <c r="Q470" s="2"/>
      <c r="R470" s="4"/>
    </row>
    <row r="471" ht="14.25" customHeight="1">
      <c r="K471" s="2">
        <v>0.00469</v>
      </c>
      <c r="L471" s="2">
        <f t="shared" si="6"/>
        <v>0.00004399123239</v>
      </c>
      <c r="M471" s="2">
        <f t="shared" si="7"/>
        <v>0.05098583834</v>
      </c>
      <c r="N471" s="2">
        <f t="shared" si="8"/>
        <v>0.01481648933</v>
      </c>
      <c r="O471" s="2"/>
      <c r="P471" s="2"/>
      <c r="Q471" s="2"/>
      <c r="R471" s="4"/>
    </row>
    <row r="472" ht="14.25" customHeight="1">
      <c r="K472" s="2">
        <v>0.0047</v>
      </c>
      <c r="L472" s="2">
        <f t="shared" si="6"/>
        <v>0.00004417902411</v>
      </c>
      <c r="M472" s="2">
        <f t="shared" si="7"/>
        <v>0.05120348894</v>
      </c>
      <c r="N472" s="2">
        <f t="shared" si="8"/>
        <v>0.01485115311</v>
      </c>
      <c r="O472" s="2"/>
      <c r="P472" s="2"/>
      <c r="Q472" s="2"/>
      <c r="R472" s="4"/>
    </row>
    <row r="473" ht="14.25" customHeight="1">
      <c r="K473" s="2">
        <v>0.00471</v>
      </c>
      <c r="L473" s="2">
        <f t="shared" si="6"/>
        <v>0.00004436721578</v>
      </c>
      <c r="M473" s="2">
        <f t="shared" si="7"/>
        <v>0.05142160308</v>
      </c>
      <c r="N473" s="2">
        <f t="shared" si="8"/>
        <v>0.01488583653</v>
      </c>
      <c r="O473" s="2"/>
      <c r="P473" s="2"/>
      <c r="Q473" s="2"/>
      <c r="R473" s="4"/>
    </row>
    <row r="474" ht="14.25" customHeight="1">
      <c r="K474" s="2">
        <v>0.00472</v>
      </c>
      <c r="L474" s="2">
        <f t="shared" si="6"/>
        <v>0.00004455580739</v>
      </c>
      <c r="M474" s="2">
        <f t="shared" si="7"/>
        <v>0.05164018077</v>
      </c>
      <c r="N474" s="2">
        <f t="shared" si="8"/>
        <v>0.01492053962</v>
      </c>
      <c r="O474" s="2"/>
      <c r="P474" s="2"/>
      <c r="Q474" s="2"/>
      <c r="R474" s="4"/>
    </row>
    <row r="475" ht="14.25" customHeight="1">
      <c r="K475" s="2">
        <v>0.00473</v>
      </c>
      <c r="L475" s="2">
        <f t="shared" si="6"/>
        <v>0.00004474479895</v>
      </c>
      <c r="M475" s="2">
        <f t="shared" si="7"/>
        <v>0.05185922198</v>
      </c>
      <c r="N475" s="2">
        <f t="shared" si="8"/>
        <v>0.01495526242</v>
      </c>
      <c r="O475" s="2"/>
      <c r="P475" s="2"/>
      <c r="Q475" s="2"/>
      <c r="R475" s="4"/>
    </row>
    <row r="476" ht="14.25" customHeight="1">
      <c r="K476" s="2">
        <v>0.00474</v>
      </c>
      <c r="L476" s="2">
        <f t="shared" si="6"/>
        <v>0.00004493419046</v>
      </c>
      <c r="M476" s="2">
        <f t="shared" si="7"/>
        <v>0.05207872674</v>
      </c>
      <c r="N476" s="2">
        <f t="shared" si="8"/>
        <v>0.01499000497</v>
      </c>
      <c r="O476" s="2"/>
      <c r="P476" s="2"/>
      <c r="Q476" s="2"/>
      <c r="R476" s="4"/>
    </row>
    <row r="477" ht="14.25" customHeight="1">
      <c r="K477" s="2">
        <v>0.00475</v>
      </c>
      <c r="L477" s="2">
        <f t="shared" si="6"/>
        <v>0.00004512398191</v>
      </c>
      <c r="M477" s="2">
        <f t="shared" si="7"/>
        <v>0.05229869504</v>
      </c>
      <c r="N477" s="2">
        <f t="shared" si="8"/>
        <v>0.01502476732</v>
      </c>
      <c r="O477" s="2"/>
      <c r="P477" s="2"/>
      <c r="Q477" s="2"/>
      <c r="R477" s="4"/>
    </row>
    <row r="478" ht="14.25" customHeight="1">
      <c r="K478" s="2">
        <v>0.00476</v>
      </c>
      <c r="L478" s="2">
        <f t="shared" si="6"/>
        <v>0.00004531417331</v>
      </c>
      <c r="M478" s="2">
        <f t="shared" si="7"/>
        <v>0.05251912687</v>
      </c>
      <c r="N478" s="2">
        <f t="shared" si="8"/>
        <v>0.01505954951</v>
      </c>
      <c r="O478" s="2"/>
      <c r="P478" s="2"/>
      <c r="Q478" s="2"/>
      <c r="R478" s="4"/>
    </row>
    <row r="479" ht="14.25" customHeight="1">
      <c r="K479" s="2">
        <v>0.00477</v>
      </c>
      <c r="L479" s="2">
        <f t="shared" si="6"/>
        <v>0.00004550476466</v>
      </c>
      <c r="M479" s="2">
        <f t="shared" si="7"/>
        <v>0.05274002224</v>
      </c>
      <c r="N479" s="2">
        <f t="shared" si="8"/>
        <v>0.01509435158</v>
      </c>
      <c r="O479" s="2"/>
      <c r="P479" s="2"/>
      <c r="Q479" s="2"/>
      <c r="R479" s="4"/>
    </row>
    <row r="480" ht="14.25" customHeight="1">
      <c r="K480" s="2">
        <v>0.00478</v>
      </c>
      <c r="L480" s="2">
        <f t="shared" si="6"/>
        <v>0.00004569575595</v>
      </c>
      <c r="M480" s="2">
        <f t="shared" si="7"/>
        <v>0.05296138114</v>
      </c>
      <c r="N480" s="2">
        <f t="shared" si="8"/>
        <v>0.01512917356</v>
      </c>
      <c r="O480" s="2"/>
      <c r="P480" s="2"/>
      <c r="Q480" s="2"/>
      <c r="R480" s="4"/>
    </row>
    <row r="481" ht="14.25" customHeight="1">
      <c r="K481" s="2">
        <v>0.00479</v>
      </c>
      <c r="L481" s="2">
        <f t="shared" si="6"/>
        <v>0.00004588714718</v>
      </c>
      <c r="M481" s="2">
        <f t="shared" si="7"/>
        <v>0.05318320359</v>
      </c>
      <c r="N481" s="2">
        <f t="shared" si="8"/>
        <v>0.01516401551</v>
      </c>
      <c r="O481" s="2"/>
      <c r="P481" s="2"/>
      <c r="Q481" s="2"/>
      <c r="R481" s="4"/>
    </row>
    <row r="482" ht="14.25" customHeight="1">
      <c r="K482" s="2">
        <v>0.0048</v>
      </c>
      <c r="L482" s="2">
        <f t="shared" si="6"/>
        <v>0.00004607893837</v>
      </c>
      <c r="M482" s="2">
        <f t="shared" si="7"/>
        <v>0.05340548957</v>
      </c>
      <c r="N482" s="2">
        <f t="shared" si="8"/>
        <v>0.01519887746</v>
      </c>
      <c r="O482" s="2"/>
      <c r="P482" s="2"/>
      <c r="Q482" s="2"/>
      <c r="R482" s="4"/>
    </row>
    <row r="483" ht="14.25" customHeight="1">
      <c r="K483" s="2">
        <v>0.00481</v>
      </c>
      <c r="L483" s="2">
        <f t="shared" si="6"/>
        <v>0.00004627112949</v>
      </c>
      <c r="M483" s="2">
        <f t="shared" si="7"/>
        <v>0.05362823908</v>
      </c>
      <c r="N483" s="2">
        <f t="shared" si="8"/>
        <v>0.01523375946</v>
      </c>
      <c r="O483" s="2"/>
      <c r="P483" s="2"/>
      <c r="Q483" s="2"/>
      <c r="R483" s="4"/>
    </row>
    <row r="484" ht="14.25" customHeight="1">
      <c r="K484" s="2">
        <v>0.00482</v>
      </c>
      <c r="L484" s="2">
        <f t="shared" si="6"/>
        <v>0.00004646372056</v>
      </c>
      <c r="M484" s="2">
        <f t="shared" si="7"/>
        <v>0.05385145213</v>
      </c>
      <c r="N484" s="2">
        <f t="shared" si="8"/>
        <v>0.01526866155</v>
      </c>
      <c r="O484" s="2"/>
      <c r="P484" s="2"/>
      <c r="Q484" s="2"/>
      <c r="R484" s="4"/>
    </row>
    <row r="485" ht="14.25" customHeight="1">
      <c r="K485" s="2">
        <v>0.00483</v>
      </c>
      <c r="L485" s="2">
        <f t="shared" si="6"/>
        <v>0.00004665671158</v>
      </c>
      <c r="M485" s="2">
        <f t="shared" si="7"/>
        <v>0.05407512872</v>
      </c>
      <c r="N485" s="2">
        <f t="shared" si="8"/>
        <v>0.01530358376</v>
      </c>
      <c r="O485" s="2"/>
      <c r="P485" s="2"/>
      <c r="Q485" s="2"/>
      <c r="R485" s="4"/>
    </row>
    <row r="486" ht="14.25" customHeight="1">
      <c r="K486" s="2">
        <v>0.00484</v>
      </c>
      <c r="L486" s="2">
        <f t="shared" si="6"/>
        <v>0.00004685010253</v>
      </c>
      <c r="M486" s="2">
        <f t="shared" si="7"/>
        <v>0.05429926884</v>
      </c>
      <c r="N486" s="2">
        <f t="shared" si="8"/>
        <v>0.01533852615</v>
      </c>
      <c r="O486" s="2"/>
      <c r="P486" s="2"/>
      <c r="Q486" s="2"/>
      <c r="R486" s="4"/>
    </row>
    <row r="487" ht="14.25" customHeight="1">
      <c r="K487" s="2">
        <v>0.00485</v>
      </c>
      <c r="L487" s="2">
        <f t="shared" si="6"/>
        <v>0.00004704389344</v>
      </c>
      <c r="M487" s="2">
        <f t="shared" si="7"/>
        <v>0.05452387249</v>
      </c>
      <c r="N487" s="2">
        <f t="shared" si="8"/>
        <v>0.01537348875</v>
      </c>
      <c r="O487" s="2"/>
      <c r="P487" s="2"/>
      <c r="Q487" s="2"/>
      <c r="R487" s="4"/>
    </row>
    <row r="488" ht="14.25" customHeight="1">
      <c r="K488" s="2">
        <v>0.00486</v>
      </c>
      <c r="L488" s="2">
        <f t="shared" si="6"/>
        <v>0.00004723808428</v>
      </c>
      <c r="M488" s="2">
        <f t="shared" si="7"/>
        <v>0.05474893968</v>
      </c>
      <c r="N488" s="2">
        <f t="shared" si="8"/>
        <v>0.0154084716</v>
      </c>
      <c r="O488" s="2"/>
      <c r="P488" s="2"/>
      <c r="Q488" s="2"/>
      <c r="R488" s="4"/>
    </row>
    <row r="489" ht="14.25" customHeight="1">
      <c r="K489" s="2">
        <v>0.00487</v>
      </c>
      <c r="L489" s="2">
        <f t="shared" si="6"/>
        <v>0.00004743267507</v>
      </c>
      <c r="M489" s="2">
        <f t="shared" si="7"/>
        <v>0.05497447041</v>
      </c>
      <c r="N489" s="2">
        <f t="shared" si="8"/>
        <v>0.01544347475</v>
      </c>
      <c r="O489" s="2"/>
      <c r="P489" s="2"/>
      <c r="Q489" s="2"/>
      <c r="R489" s="4"/>
    </row>
    <row r="490" ht="14.25" customHeight="1">
      <c r="K490" s="2">
        <v>0.00488</v>
      </c>
      <c r="L490" s="2">
        <f t="shared" si="6"/>
        <v>0.0000476276658</v>
      </c>
      <c r="M490" s="2">
        <f t="shared" si="7"/>
        <v>0.05520046467</v>
      </c>
      <c r="N490" s="2">
        <f t="shared" si="8"/>
        <v>0.01547849824</v>
      </c>
      <c r="O490" s="2"/>
      <c r="P490" s="2"/>
      <c r="Q490" s="2"/>
      <c r="R490" s="4"/>
    </row>
    <row r="491" ht="14.25" customHeight="1">
      <c r="K491" s="2">
        <v>0.00489</v>
      </c>
      <c r="L491" s="2">
        <f t="shared" si="6"/>
        <v>0.00004782305648</v>
      </c>
      <c r="M491" s="2">
        <f t="shared" si="7"/>
        <v>0.05542692246</v>
      </c>
      <c r="N491" s="2">
        <f t="shared" si="8"/>
        <v>0.01551354211</v>
      </c>
      <c r="O491" s="2"/>
      <c r="P491" s="2"/>
      <c r="Q491" s="2"/>
      <c r="R491" s="4"/>
    </row>
    <row r="492" ht="14.25" customHeight="1">
      <c r="K492" s="2">
        <v>0.0049</v>
      </c>
      <c r="L492" s="2">
        <f t="shared" si="6"/>
        <v>0.0000480188471</v>
      </c>
      <c r="M492" s="2">
        <f t="shared" si="7"/>
        <v>0.05565384378</v>
      </c>
      <c r="N492" s="2">
        <f t="shared" si="8"/>
        <v>0.0155486064</v>
      </c>
      <c r="O492" s="2"/>
      <c r="P492" s="2"/>
      <c r="Q492" s="2"/>
      <c r="R492" s="4"/>
    </row>
    <row r="493" ht="14.25" customHeight="1">
      <c r="K493" s="2">
        <v>0.00491</v>
      </c>
      <c r="L493" s="2">
        <f t="shared" si="6"/>
        <v>0.00004821503766</v>
      </c>
      <c r="M493" s="2">
        <f t="shared" si="7"/>
        <v>0.05588122864</v>
      </c>
      <c r="N493" s="2">
        <f t="shared" si="8"/>
        <v>0.01558369116</v>
      </c>
      <c r="O493" s="2"/>
      <c r="P493" s="2"/>
      <c r="Q493" s="2"/>
      <c r="R493" s="4"/>
    </row>
    <row r="494" ht="14.25" customHeight="1">
      <c r="K494" s="2">
        <v>0.00492</v>
      </c>
      <c r="L494" s="2">
        <f t="shared" si="6"/>
        <v>0.00004841162816</v>
      </c>
      <c r="M494" s="2">
        <f t="shared" si="7"/>
        <v>0.05610907703</v>
      </c>
      <c r="N494" s="2">
        <f t="shared" si="8"/>
        <v>0.01561879641</v>
      </c>
      <c r="O494" s="2"/>
      <c r="P494" s="2"/>
      <c r="Q494" s="2"/>
      <c r="R494" s="4"/>
    </row>
    <row r="495" ht="14.25" customHeight="1">
      <c r="K495" s="2">
        <v>0.00493</v>
      </c>
      <c r="L495" s="2">
        <f t="shared" si="6"/>
        <v>0.0000486086186</v>
      </c>
      <c r="M495" s="2">
        <f t="shared" si="7"/>
        <v>0.05633738896</v>
      </c>
      <c r="N495" s="2">
        <f t="shared" si="8"/>
        <v>0.01565392222</v>
      </c>
      <c r="O495" s="2"/>
      <c r="P495" s="2"/>
      <c r="Q495" s="2"/>
      <c r="R495" s="4"/>
    </row>
    <row r="496" ht="14.25" customHeight="1">
      <c r="K496" s="2">
        <v>0.00494</v>
      </c>
      <c r="L496" s="2">
        <f t="shared" si="6"/>
        <v>0.00004880600899</v>
      </c>
      <c r="M496" s="2">
        <f t="shared" si="7"/>
        <v>0.05656616442</v>
      </c>
      <c r="N496" s="2">
        <f t="shared" si="8"/>
        <v>0.01568906861</v>
      </c>
      <c r="O496" s="2"/>
      <c r="P496" s="2"/>
      <c r="Q496" s="2"/>
      <c r="R496" s="4"/>
    </row>
    <row r="497" ht="14.25" customHeight="1">
      <c r="K497" s="2">
        <v>0.00495</v>
      </c>
      <c r="L497" s="2">
        <f t="shared" si="6"/>
        <v>0.00004900379931</v>
      </c>
      <c r="M497" s="2">
        <f t="shared" si="7"/>
        <v>0.0567954034</v>
      </c>
      <c r="N497" s="2">
        <f t="shared" si="8"/>
        <v>0.01572423564</v>
      </c>
      <c r="O497" s="2"/>
      <c r="P497" s="2"/>
      <c r="Q497" s="2"/>
      <c r="R497" s="4"/>
    </row>
    <row r="498" ht="14.25" customHeight="1">
      <c r="K498" s="2">
        <v>0.00496</v>
      </c>
      <c r="L498" s="2">
        <f t="shared" si="6"/>
        <v>0.00004920198958</v>
      </c>
      <c r="M498" s="2">
        <f t="shared" si="7"/>
        <v>0.05702510593</v>
      </c>
      <c r="N498" s="2">
        <f t="shared" si="8"/>
        <v>0.01575942333</v>
      </c>
      <c r="O498" s="2"/>
      <c r="P498" s="2"/>
      <c r="Q498" s="2"/>
      <c r="R498" s="4"/>
    </row>
    <row r="499" ht="14.25" customHeight="1">
      <c r="K499" s="2">
        <v>0.00497</v>
      </c>
      <c r="L499" s="2">
        <f t="shared" si="6"/>
        <v>0.00004940057979</v>
      </c>
      <c r="M499" s="2">
        <f t="shared" si="7"/>
        <v>0.05725527198</v>
      </c>
      <c r="N499" s="2">
        <f t="shared" si="8"/>
        <v>0.01579463174</v>
      </c>
      <c r="O499" s="2"/>
      <c r="P499" s="2"/>
      <c r="Q499" s="2"/>
      <c r="R499" s="4"/>
    </row>
    <row r="500" ht="14.25" customHeight="1">
      <c r="K500" s="2">
        <v>0.00498</v>
      </c>
      <c r="L500" s="2">
        <f t="shared" si="6"/>
        <v>0.00004959956994</v>
      </c>
      <c r="M500" s="2">
        <f t="shared" si="7"/>
        <v>0.05748590156</v>
      </c>
      <c r="N500" s="2">
        <f t="shared" si="8"/>
        <v>0.01582986091</v>
      </c>
      <c r="O500" s="2"/>
      <c r="P500" s="2"/>
      <c r="Q500" s="2"/>
      <c r="R500" s="4"/>
    </row>
    <row r="501" ht="14.25" customHeight="1">
      <c r="K501" s="2">
        <v>0.00499</v>
      </c>
      <c r="L501" s="2">
        <f t="shared" si="6"/>
        <v>0.00004979896003</v>
      </c>
      <c r="M501" s="2">
        <f t="shared" si="7"/>
        <v>0.05771699468</v>
      </c>
      <c r="N501" s="2">
        <f t="shared" si="8"/>
        <v>0.01586511087</v>
      </c>
      <c r="O501" s="2"/>
      <c r="P501" s="2"/>
      <c r="Q501" s="2"/>
      <c r="R501" s="4"/>
    </row>
    <row r="502" ht="14.25" customHeight="1">
      <c r="K502" s="2">
        <v>0.005</v>
      </c>
      <c r="L502" s="2">
        <f t="shared" si="6"/>
        <v>0.00004999875006</v>
      </c>
      <c r="M502" s="2">
        <f t="shared" si="7"/>
        <v>0.05794855132</v>
      </c>
      <c r="N502" s="2">
        <f t="shared" si="8"/>
        <v>0.01590038167</v>
      </c>
      <c r="O502" s="2"/>
      <c r="P502" s="2"/>
      <c r="Q502" s="2"/>
      <c r="R502" s="4"/>
    </row>
    <row r="503" ht="14.25" customHeight="1">
      <c r="K503" s="2">
        <v>0.00501</v>
      </c>
      <c r="L503" s="2">
        <f t="shared" si="6"/>
        <v>0.00005019894003</v>
      </c>
      <c r="M503" s="2">
        <f t="shared" si="7"/>
        <v>0.0581805715</v>
      </c>
      <c r="N503" s="2">
        <f t="shared" si="8"/>
        <v>0.01593567336</v>
      </c>
      <c r="O503" s="2"/>
      <c r="P503" s="2"/>
      <c r="Q503" s="2"/>
      <c r="R503" s="4"/>
    </row>
    <row r="504" ht="14.25" customHeight="1">
      <c r="K504" s="2">
        <v>0.00502</v>
      </c>
      <c r="L504" s="2">
        <f t="shared" si="6"/>
        <v>0.00005039952994</v>
      </c>
      <c r="M504" s="2">
        <f t="shared" si="7"/>
        <v>0.0584130552</v>
      </c>
      <c r="N504" s="2">
        <f t="shared" si="8"/>
        <v>0.01597098596</v>
      </c>
      <c r="O504" s="2"/>
      <c r="P504" s="2"/>
      <c r="Q504" s="2"/>
      <c r="R504" s="4"/>
    </row>
    <row r="505" ht="14.25" customHeight="1">
      <c r="K505" s="2">
        <v>0.00503</v>
      </c>
      <c r="L505" s="2">
        <f t="shared" si="6"/>
        <v>0.00005060051979</v>
      </c>
      <c r="M505" s="2">
        <f t="shared" si="7"/>
        <v>0.05864600244</v>
      </c>
      <c r="N505" s="2">
        <f t="shared" si="8"/>
        <v>0.01600631953</v>
      </c>
      <c r="O505" s="2"/>
      <c r="P505" s="2"/>
      <c r="Q505" s="2"/>
      <c r="R505" s="4"/>
    </row>
    <row r="506" ht="14.25" customHeight="1">
      <c r="K506" s="2">
        <v>0.00504</v>
      </c>
      <c r="L506" s="2">
        <f t="shared" si="6"/>
        <v>0.00005080190958</v>
      </c>
      <c r="M506" s="2">
        <f t="shared" si="7"/>
        <v>0.05887941321</v>
      </c>
      <c r="N506" s="2">
        <f t="shared" si="8"/>
        <v>0.01604167411</v>
      </c>
      <c r="O506" s="2"/>
      <c r="P506" s="2"/>
      <c r="Q506" s="2"/>
      <c r="R506" s="4"/>
    </row>
    <row r="507" ht="14.25" customHeight="1">
      <c r="K507" s="2">
        <v>0.00505</v>
      </c>
      <c r="L507" s="2">
        <f t="shared" si="6"/>
        <v>0.00005100369931</v>
      </c>
      <c r="M507" s="2">
        <f t="shared" si="7"/>
        <v>0.0591132875</v>
      </c>
      <c r="N507" s="2">
        <f t="shared" si="8"/>
        <v>0.01607704973</v>
      </c>
      <c r="O507" s="2"/>
      <c r="P507" s="2"/>
      <c r="Q507" s="2"/>
      <c r="R507" s="4"/>
    </row>
    <row r="508" ht="14.25" customHeight="1">
      <c r="K508" s="2">
        <v>0.00506</v>
      </c>
      <c r="L508" s="2">
        <f t="shared" si="6"/>
        <v>0.00005120588898</v>
      </c>
      <c r="M508" s="2">
        <f t="shared" si="7"/>
        <v>0.05934762533</v>
      </c>
      <c r="N508" s="2">
        <f t="shared" si="8"/>
        <v>0.01611244644</v>
      </c>
      <c r="O508" s="2"/>
      <c r="P508" s="2"/>
      <c r="Q508" s="2"/>
      <c r="R508" s="4"/>
    </row>
    <row r="509" ht="14.25" customHeight="1">
      <c r="K509" s="2">
        <v>0.00507</v>
      </c>
      <c r="L509" s="2">
        <f t="shared" si="6"/>
        <v>0.00005140847858</v>
      </c>
      <c r="M509" s="2">
        <f t="shared" si="7"/>
        <v>0.05958242668</v>
      </c>
      <c r="N509" s="2">
        <f t="shared" si="8"/>
        <v>0.01614786428</v>
      </c>
      <c r="O509" s="2"/>
      <c r="P509" s="2"/>
      <c r="Q509" s="2"/>
      <c r="R509" s="4"/>
    </row>
    <row r="510" ht="14.25" customHeight="1">
      <c r="K510" s="2">
        <v>0.00508</v>
      </c>
      <c r="L510" s="2">
        <f t="shared" si="6"/>
        <v>0.00005161146813</v>
      </c>
      <c r="M510" s="2">
        <f t="shared" si="7"/>
        <v>0.05981769156</v>
      </c>
      <c r="N510" s="2">
        <f t="shared" si="8"/>
        <v>0.0161833033</v>
      </c>
      <c r="O510" s="2"/>
      <c r="P510" s="2"/>
      <c r="Q510" s="2"/>
      <c r="R510" s="4"/>
    </row>
    <row r="511" ht="14.25" customHeight="1">
      <c r="K511" s="2">
        <v>0.00509</v>
      </c>
      <c r="L511" s="2">
        <f t="shared" si="6"/>
        <v>0.00005181485761</v>
      </c>
      <c r="M511" s="2">
        <f t="shared" si="7"/>
        <v>0.06005341997</v>
      </c>
      <c r="N511" s="2">
        <f t="shared" si="8"/>
        <v>0.01621876353</v>
      </c>
      <c r="O511" s="2"/>
      <c r="P511" s="2"/>
      <c r="Q511" s="2"/>
      <c r="R511" s="4"/>
    </row>
    <row r="512" ht="14.25" customHeight="1">
      <c r="K512" s="2">
        <v>0.0051</v>
      </c>
      <c r="L512" s="2">
        <f t="shared" si="6"/>
        <v>0.00005201864703</v>
      </c>
      <c r="M512" s="2">
        <f t="shared" si="7"/>
        <v>0.06028961191</v>
      </c>
      <c r="N512" s="2">
        <f t="shared" si="8"/>
        <v>0.01625424502</v>
      </c>
      <c r="O512" s="2"/>
      <c r="P512" s="2"/>
      <c r="Q512" s="2"/>
      <c r="R512" s="4"/>
    </row>
    <row r="513" ht="14.25" customHeight="1">
      <c r="K513" s="2">
        <v>0.00511</v>
      </c>
      <c r="L513" s="2">
        <f t="shared" si="6"/>
        <v>0.00005222283639</v>
      </c>
      <c r="M513" s="2">
        <f t="shared" si="7"/>
        <v>0.06052626737</v>
      </c>
      <c r="N513" s="2">
        <f t="shared" si="8"/>
        <v>0.01628974781</v>
      </c>
      <c r="O513" s="2"/>
      <c r="P513" s="2"/>
      <c r="Q513" s="2"/>
      <c r="R513" s="4"/>
    </row>
    <row r="514" ht="14.25" customHeight="1">
      <c r="K514" s="2">
        <v>0.00512</v>
      </c>
      <c r="L514" s="2">
        <f t="shared" si="6"/>
        <v>0.00005242742568</v>
      </c>
      <c r="M514" s="2">
        <f t="shared" si="7"/>
        <v>0.06076338637</v>
      </c>
      <c r="N514" s="2">
        <f t="shared" si="8"/>
        <v>0.01632527193</v>
      </c>
      <c r="O514" s="2"/>
      <c r="P514" s="2"/>
      <c r="Q514" s="2"/>
      <c r="R514" s="4"/>
    </row>
    <row r="515" ht="14.25" customHeight="1">
      <c r="K515" s="2">
        <v>0.00513</v>
      </c>
      <c r="L515" s="2">
        <f t="shared" si="6"/>
        <v>0.00005263241491</v>
      </c>
      <c r="M515" s="2">
        <f t="shared" si="7"/>
        <v>0.06100096889</v>
      </c>
      <c r="N515" s="2">
        <f t="shared" si="8"/>
        <v>0.01636081744</v>
      </c>
      <c r="O515" s="2"/>
      <c r="P515" s="2"/>
      <c r="Q515" s="2"/>
      <c r="R515" s="4"/>
    </row>
    <row r="516" ht="14.25" customHeight="1">
      <c r="K516" s="2">
        <v>0.00514</v>
      </c>
      <c r="L516" s="2">
        <f t="shared" si="6"/>
        <v>0.00005283780408</v>
      </c>
      <c r="M516" s="2">
        <f t="shared" si="7"/>
        <v>0.06123901493</v>
      </c>
      <c r="N516" s="2">
        <f t="shared" si="8"/>
        <v>0.01639638437</v>
      </c>
      <c r="O516" s="2"/>
      <c r="P516" s="2"/>
      <c r="Q516" s="2"/>
      <c r="R516" s="4"/>
    </row>
    <row r="517" ht="14.25" customHeight="1">
      <c r="K517" s="2">
        <v>0.00515</v>
      </c>
      <c r="L517" s="2">
        <f t="shared" si="6"/>
        <v>0.00005304359319</v>
      </c>
      <c r="M517" s="2">
        <f t="shared" si="7"/>
        <v>0.06147752451</v>
      </c>
      <c r="N517" s="2">
        <f t="shared" si="8"/>
        <v>0.01643197276</v>
      </c>
      <c r="O517" s="2"/>
      <c r="P517" s="2"/>
      <c r="Q517" s="2"/>
      <c r="R517" s="4"/>
    </row>
    <row r="518" ht="14.25" customHeight="1">
      <c r="K518" s="2">
        <v>0.00516</v>
      </c>
      <c r="L518" s="2">
        <f t="shared" si="6"/>
        <v>0.00005324978223</v>
      </c>
      <c r="M518" s="2">
        <f t="shared" si="7"/>
        <v>0.0617164976</v>
      </c>
      <c r="N518" s="2">
        <f t="shared" si="8"/>
        <v>0.01646758267</v>
      </c>
      <c r="O518" s="2"/>
      <c r="P518" s="2"/>
      <c r="Q518" s="2"/>
      <c r="R518" s="4"/>
    </row>
    <row r="519" ht="14.25" customHeight="1">
      <c r="K519" s="2">
        <v>0.00517</v>
      </c>
      <c r="L519" s="2">
        <f t="shared" si="6"/>
        <v>0.00005345637121</v>
      </c>
      <c r="M519" s="2">
        <f t="shared" si="7"/>
        <v>0.06195593423</v>
      </c>
      <c r="N519" s="2">
        <f t="shared" si="8"/>
        <v>0.01650321412</v>
      </c>
      <c r="O519" s="2"/>
      <c r="P519" s="2"/>
      <c r="Q519" s="2"/>
      <c r="R519" s="4"/>
    </row>
    <row r="520" ht="14.25" customHeight="1">
      <c r="K520" s="2">
        <v>0.00518</v>
      </c>
      <c r="L520" s="2">
        <f t="shared" si="6"/>
        <v>0.00005366336012</v>
      </c>
      <c r="M520" s="2">
        <f t="shared" si="7"/>
        <v>0.06219583438</v>
      </c>
      <c r="N520" s="2">
        <f t="shared" si="8"/>
        <v>0.01653886716</v>
      </c>
      <c r="O520" s="2"/>
      <c r="P520" s="2"/>
      <c r="Q520" s="2"/>
      <c r="R520" s="4"/>
    </row>
    <row r="521" ht="14.25" customHeight="1">
      <c r="K521" s="2">
        <v>0.00519</v>
      </c>
      <c r="L521" s="2">
        <f t="shared" si="6"/>
        <v>0.00005387074897</v>
      </c>
      <c r="M521" s="2">
        <f t="shared" si="7"/>
        <v>0.06243619806</v>
      </c>
      <c r="N521" s="2">
        <f t="shared" si="8"/>
        <v>0.01657454183</v>
      </c>
      <c r="O521" s="2"/>
      <c r="P521" s="2"/>
      <c r="Q521" s="2"/>
      <c r="R521" s="4"/>
    </row>
    <row r="522" ht="14.25" customHeight="1">
      <c r="K522" s="2">
        <v>0.0052</v>
      </c>
      <c r="L522" s="2">
        <f t="shared" si="6"/>
        <v>0.00005407853776</v>
      </c>
      <c r="M522" s="2">
        <f t="shared" si="7"/>
        <v>0.06267702526</v>
      </c>
      <c r="N522" s="2">
        <f t="shared" si="8"/>
        <v>0.01661023818</v>
      </c>
      <c r="O522" s="2"/>
      <c r="P522" s="2"/>
      <c r="Q522" s="2"/>
      <c r="R522" s="4"/>
    </row>
    <row r="523" ht="14.25" customHeight="1">
      <c r="K523" s="2">
        <v>0.00521</v>
      </c>
      <c r="L523" s="2">
        <f t="shared" si="6"/>
        <v>0.00005428672648</v>
      </c>
      <c r="M523" s="2">
        <f t="shared" si="7"/>
        <v>0.06291831599</v>
      </c>
      <c r="N523" s="2">
        <f t="shared" si="8"/>
        <v>0.01664595624</v>
      </c>
      <c r="O523" s="2"/>
      <c r="P523" s="2"/>
      <c r="Q523" s="2"/>
      <c r="R523" s="4"/>
    </row>
    <row r="524" ht="14.25" customHeight="1">
      <c r="K524" s="2">
        <v>0.00522</v>
      </c>
      <c r="L524" s="2">
        <f t="shared" si="6"/>
        <v>0.00005449531513</v>
      </c>
      <c r="M524" s="2">
        <f t="shared" si="7"/>
        <v>0.06316007024</v>
      </c>
      <c r="N524" s="2">
        <f t="shared" si="8"/>
        <v>0.01668169606</v>
      </c>
      <c r="O524" s="2"/>
      <c r="P524" s="2"/>
      <c r="Q524" s="2"/>
      <c r="R524" s="4"/>
    </row>
    <row r="525" ht="14.25" customHeight="1">
      <c r="K525" s="2">
        <v>0.00523</v>
      </c>
      <c r="L525" s="2">
        <f t="shared" si="6"/>
        <v>0.00005470430372</v>
      </c>
      <c r="M525" s="2">
        <f t="shared" si="7"/>
        <v>0.06340228801</v>
      </c>
      <c r="N525" s="2">
        <f t="shared" si="8"/>
        <v>0.01671745768</v>
      </c>
      <c r="O525" s="2"/>
      <c r="P525" s="2"/>
      <c r="Q525" s="2"/>
      <c r="R525" s="4"/>
    </row>
    <row r="526" ht="14.25" customHeight="1">
      <c r="K526" s="2">
        <v>0.00524</v>
      </c>
      <c r="L526" s="2">
        <f t="shared" si="6"/>
        <v>0.00005491369224</v>
      </c>
      <c r="M526" s="2">
        <f t="shared" si="7"/>
        <v>0.06364496931</v>
      </c>
      <c r="N526" s="2">
        <f t="shared" si="8"/>
        <v>0.01675324114</v>
      </c>
      <c r="O526" s="2"/>
      <c r="P526" s="2"/>
      <c r="Q526" s="2"/>
      <c r="R526" s="4"/>
    </row>
    <row r="527" ht="14.25" customHeight="1">
      <c r="K527" s="2">
        <v>0.00525</v>
      </c>
      <c r="L527" s="2">
        <f t="shared" si="6"/>
        <v>0.0000551234807</v>
      </c>
      <c r="M527" s="2">
        <f t="shared" si="7"/>
        <v>0.06388811413</v>
      </c>
      <c r="N527" s="2">
        <f t="shared" si="8"/>
        <v>0.01678904648</v>
      </c>
      <c r="O527" s="2"/>
      <c r="P527" s="2"/>
      <c r="Q527" s="2"/>
      <c r="R527" s="4"/>
    </row>
    <row r="528" ht="14.25" customHeight="1">
      <c r="K528" s="2">
        <v>0.00526</v>
      </c>
      <c r="L528" s="2">
        <f t="shared" si="6"/>
        <v>0.00005533366909</v>
      </c>
      <c r="M528" s="2">
        <f t="shared" si="7"/>
        <v>0.06413172248</v>
      </c>
      <c r="N528" s="2">
        <f t="shared" si="8"/>
        <v>0.01682487375</v>
      </c>
      <c r="O528" s="2"/>
      <c r="P528" s="2"/>
      <c r="Q528" s="2"/>
      <c r="R528" s="4"/>
    </row>
    <row r="529" ht="14.25" customHeight="1">
      <c r="K529" s="2">
        <v>0.00527</v>
      </c>
      <c r="L529" s="2">
        <f t="shared" si="6"/>
        <v>0.00005554425742</v>
      </c>
      <c r="M529" s="2">
        <f t="shared" si="7"/>
        <v>0.06437579435</v>
      </c>
      <c r="N529" s="2">
        <f t="shared" si="8"/>
        <v>0.01686072298</v>
      </c>
      <c r="O529" s="2"/>
      <c r="P529" s="2"/>
      <c r="Q529" s="2"/>
      <c r="R529" s="4"/>
    </row>
    <row r="530" ht="14.25" customHeight="1">
      <c r="K530" s="2">
        <v>0.00528</v>
      </c>
      <c r="L530" s="2">
        <f t="shared" si="6"/>
        <v>0.00005575524568</v>
      </c>
      <c r="M530" s="2">
        <f t="shared" si="7"/>
        <v>0.06462032974</v>
      </c>
      <c r="N530" s="2">
        <f t="shared" si="8"/>
        <v>0.01689659422</v>
      </c>
      <c r="O530" s="2"/>
      <c r="P530" s="2"/>
      <c r="Q530" s="2"/>
      <c r="R530" s="4"/>
    </row>
    <row r="531" ht="14.25" customHeight="1">
      <c r="K531" s="2">
        <v>0.00529</v>
      </c>
      <c r="L531" s="2">
        <f t="shared" si="6"/>
        <v>0.00005596663387</v>
      </c>
      <c r="M531" s="2">
        <f t="shared" si="7"/>
        <v>0.06486532865</v>
      </c>
      <c r="N531" s="2">
        <f t="shared" si="8"/>
        <v>0.01693248751</v>
      </c>
      <c r="O531" s="2"/>
      <c r="P531" s="2"/>
      <c r="Q531" s="2"/>
      <c r="R531" s="4"/>
    </row>
    <row r="532" ht="14.25" customHeight="1">
      <c r="K532" s="2">
        <v>0.0053</v>
      </c>
      <c r="L532" s="2">
        <f t="shared" si="6"/>
        <v>0.00005617842199</v>
      </c>
      <c r="M532" s="2">
        <f t="shared" si="7"/>
        <v>0.06511079109</v>
      </c>
      <c r="N532" s="2">
        <f t="shared" si="8"/>
        <v>0.01696840289</v>
      </c>
      <c r="O532" s="2"/>
      <c r="P532" s="2"/>
      <c r="Q532" s="2"/>
      <c r="R532" s="4"/>
    </row>
    <row r="533" ht="14.25" customHeight="1">
      <c r="K533" s="2">
        <v>0.00531</v>
      </c>
      <c r="L533" s="2">
        <f t="shared" si="6"/>
        <v>0.00005639061005</v>
      </c>
      <c r="M533" s="2">
        <f t="shared" si="7"/>
        <v>0.06535671705</v>
      </c>
      <c r="N533" s="2">
        <f t="shared" si="8"/>
        <v>0.01700434041</v>
      </c>
      <c r="O533" s="2"/>
      <c r="P533" s="2"/>
      <c r="Q533" s="2"/>
      <c r="R533" s="4"/>
    </row>
    <row r="534" ht="14.25" customHeight="1">
      <c r="K534" s="2">
        <v>0.00532</v>
      </c>
      <c r="L534" s="2">
        <f t="shared" si="6"/>
        <v>0.00005660319804</v>
      </c>
      <c r="M534" s="2">
        <f t="shared" si="7"/>
        <v>0.06560310653</v>
      </c>
      <c r="N534" s="2">
        <f t="shared" si="8"/>
        <v>0.0170403001</v>
      </c>
      <c r="O534" s="2"/>
      <c r="P534" s="2"/>
      <c r="Q534" s="2"/>
      <c r="R534" s="4"/>
    </row>
    <row r="535" ht="14.25" customHeight="1">
      <c r="K535" s="2">
        <v>0.00533</v>
      </c>
      <c r="L535" s="2">
        <f t="shared" si="6"/>
        <v>0.00005681618596</v>
      </c>
      <c r="M535" s="2">
        <f t="shared" si="7"/>
        <v>0.06584995953</v>
      </c>
      <c r="N535" s="2">
        <f t="shared" si="8"/>
        <v>0.017076282</v>
      </c>
      <c r="O535" s="2"/>
      <c r="P535" s="2"/>
      <c r="Q535" s="2"/>
      <c r="R535" s="4"/>
    </row>
    <row r="536" ht="14.25" customHeight="1">
      <c r="K536" s="2">
        <v>0.00534</v>
      </c>
      <c r="L536" s="2">
        <f t="shared" si="6"/>
        <v>0.00005702957381</v>
      </c>
      <c r="M536" s="2">
        <f t="shared" si="7"/>
        <v>0.06609727605</v>
      </c>
      <c r="N536" s="2">
        <f t="shared" si="8"/>
        <v>0.01711228616</v>
      </c>
      <c r="O536" s="2"/>
      <c r="P536" s="2"/>
      <c r="Q536" s="2"/>
      <c r="R536" s="4"/>
    </row>
    <row r="537" ht="14.25" customHeight="1">
      <c r="K537" s="2">
        <v>0.00535</v>
      </c>
      <c r="L537" s="2">
        <f t="shared" si="6"/>
        <v>0.0000572433616</v>
      </c>
      <c r="M537" s="2">
        <f t="shared" si="7"/>
        <v>0.06634505609</v>
      </c>
      <c r="N537" s="2">
        <f t="shared" si="8"/>
        <v>0.01714831263</v>
      </c>
      <c r="O537" s="2"/>
      <c r="P537" s="2"/>
      <c r="Q537" s="2"/>
      <c r="R537" s="4"/>
    </row>
    <row r="538" ht="14.25" customHeight="1">
      <c r="K538" s="2">
        <v>0.00536</v>
      </c>
      <c r="L538" s="2">
        <f t="shared" si="6"/>
        <v>0.00005745754932</v>
      </c>
      <c r="M538" s="2">
        <f t="shared" si="7"/>
        <v>0.06659329966</v>
      </c>
      <c r="N538" s="2">
        <f t="shared" si="8"/>
        <v>0.01718436143</v>
      </c>
      <c r="O538" s="2"/>
      <c r="P538" s="2"/>
      <c r="Q538" s="2"/>
      <c r="R538" s="4"/>
    </row>
    <row r="539" ht="14.25" customHeight="1">
      <c r="K539" s="2">
        <v>0.00537</v>
      </c>
      <c r="L539" s="2">
        <f t="shared" si="6"/>
        <v>0.00005767213696</v>
      </c>
      <c r="M539" s="2">
        <f t="shared" si="7"/>
        <v>0.06684200674</v>
      </c>
      <c r="N539" s="2">
        <f t="shared" si="8"/>
        <v>0.01722043262</v>
      </c>
      <c r="O539" s="2"/>
      <c r="P539" s="2"/>
      <c r="Q539" s="2"/>
      <c r="R539" s="4"/>
    </row>
    <row r="540" ht="14.25" customHeight="1">
      <c r="K540" s="2">
        <v>0.00538</v>
      </c>
      <c r="L540" s="2">
        <f t="shared" si="6"/>
        <v>0.00005788712454</v>
      </c>
      <c r="M540" s="2">
        <f t="shared" si="7"/>
        <v>0.06709117734</v>
      </c>
      <c r="N540" s="2">
        <f t="shared" si="8"/>
        <v>0.01725652623</v>
      </c>
      <c r="O540" s="2"/>
      <c r="P540" s="2"/>
      <c r="Q540" s="2"/>
      <c r="R540" s="4"/>
    </row>
    <row r="541" ht="14.25" customHeight="1">
      <c r="K541" s="2">
        <v>0.00539</v>
      </c>
      <c r="L541" s="2">
        <f t="shared" si="6"/>
        <v>0.00005810251205</v>
      </c>
      <c r="M541" s="2">
        <f t="shared" si="7"/>
        <v>0.06734081146</v>
      </c>
      <c r="N541" s="2">
        <f t="shared" si="8"/>
        <v>0.01729264231</v>
      </c>
      <c r="O541" s="2"/>
      <c r="P541" s="2"/>
      <c r="Q541" s="2"/>
      <c r="R541" s="4"/>
    </row>
    <row r="542" ht="14.25" customHeight="1">
      <c r="K542" s="2">
        <v>0.0054</v>
      </c>
      <c r="L542" s="2">
        <f t="shared" si="6"/>
        <v>0.00005831829949</v>
      </c>
      <c r="M542" s="2">
        <f t="shared" si="7"/>
        <v>0.06759090911</v>
      </c>
      <c r="N542" s="2">
        <f t="shared" si="8"/>
        <v>0.0173287809</v>
      </c>
      <c r="O542" s="2"/>
      <c r="P542" s="2"/>
      <c r="Q542" s="2"/>
      <c r="R542" s="4"/>
    </row>
    <row r="543" ht="14.25" customHeight="1">
      <c r="K543" s="2">
        <v>0.00541</v>
      </c>
      <c r="L543" s="2">
        <f t="shared" si="6"/>
        <v>0.00005853448686</v>
      </c>
      <c r="M543" s="2">
        <f t="shared" si="7"/>
        <v>0.06784147027</v>
      </c>
      <c r="N543" s="2">
        <f t="shared" si="8"/>
        <v>0.01736494204</v>
      </c>
      <c r="O543" s="2"/>
      <c r="P543" s="2"/>
      <c r="Q543" s="2"/>
      <c r="R543" s="4"/>
    </row>
    <row r="544" ht="14.25" customHeight="1">
      <c r="K544" s="2">
        <v>0.00542</v>
      </c>
      <c r="L544" s="2">
        <f t="shared" si="6"/>
        <v>0.00005875107416</v>
      </c>
      <c r="M544" s="2">
        <f t="shared" si="7"/>
        <v>0.06809249495</v>
      </c>
      <c r="N544" s="2">
        <f t="shared" si="8"/>
        <v>0.01740112577</v>
      </c>
      <c r="O544" s="2"/>
      <c r="P544" s="2"/>
      <c r="Q544" s="2"/>
      <c r="R544" s="4"/>
    </row>
    <row r="545" ht="14.25" customHeight="1">
      <c r="K545" s="2">
        <v>0.00543</v>
      </c>
      <c r="L545" s="2">
        <f t="shared" si="6"/>
        <v>0.00005896806138</v>
      </c>
      <c r="M545" s="2">
        <f t="shared" si="7"/>
        <v>0.06834398314</v>
      </c>
      <c r="N545" s="2">
        <f t="shared" si="8"/>
        <v>0.01743733213</v>
      </c>
      <c r="O545" s="2"/>
      <c r="P545" s="2"/>
      <c r="Q545" s="2"/>
      <c r="R545" s="4"/>
    </row>
    <row r="546" ht="14.25" customHeight="1">
      <c r="K546" s="2">
        <v>0.00544</v>
      </c>
      <c r="L546" s="2">
        <f t="shared" si="6"/>
        <v>0.00005918544854</v>
      </c>
      <c r="M546" s="2">
        <f t="shared" si="7"/>
        <v>0.06859593486</v>
      </c>
      <c r="N546" s="2">
        <f t="shared" si="8"/>
        <v>0.01747356117</v>
      </c>
      <c r="O546" s="2"/>
      <c r="P546" s="2"/>
      <c r="Q546" s="2"/>
      <c r="R546" s="4"/>
    </row>
    <row r="547" ht="14.25" customHeight="1">
      <c r="K547" s="2">
        <v>0.00545</v>
      </c>
      <c r="L547" s="2">
        <f t="shared" si="6"/>
        <v>0.00005940323563</v>
      </c>
      <c r="M547" s="2">
        <f t="shared" si="7"/>
        <v>0.06884835009</v>
      </c>
      <c r="N547" s="2">
        <f t="shared" si="8"/>
        <v>0.01750981293</v>
      </c>
      <c r="O547" s="2"/>
      <c r="P547" s="2"/>
      <c r="Q547" s="2"/>
      <c r="R547" s="4"/>
    </row>
    <row r="548" ht="14.25" customHeight="1">
      <c r="K548" s="2">
        <v>0.00546</v>
      </c>
      <c r="L548" s="2">
        <f t="shared" si="6"/>
        <v>0.00005962142264</v>
      </c>
      <c r="M548" s="2">
        <f t="shared" si="7"/>
        <v>0.06910122884</v>
      </c>
      <c r="N548" s="2">
        <f t="shared" si="8"/>
        <v>0.01754608744</v>
      </c>
      <c r="O548" s="2"/>
      <c r="P548" s="2"/>
      <c r="Q548" s="2"/>
      <c r="R548" s="4"/>
    </row>
    <row r="549" ht="14.25" customHeight="1">
      <c r="K549" s="2">
        <v>0.00547</v>
      </c>
      <c r="L549" s="2">
        <f t="shared" si="6"/>
        <v>0.00005984000959</v>
      </c>
      <c r="M549" s="2">
        <f t="shared" si="7"/>
        <v>0.06935457111</v>
      </c>
      <c r="N549" s="2">
        <f t="shared" si="8"/>
        <v>0.01758238476</v>
      </c>
      <c r="O549" s="2"/>
      <c r="P549" s="2"/>
      <c r="Q549" s="2"/>
      <c r="R549" s="4"/>
    </row>
    <row r="550" ht="14.25" customHeight="1">
      <c r="K550" s="2">
        <v>0.00548</v>
      </c>
      <c r="L550" s="2">
        <f t="shared" si="6"/>
        <v>0.00006005899646</v>
      </c>
      <c r="M550" s="2">
        <f t="shared" si="7"/>
        <v>0.0696083769</v>
      </c>
      <c r="N550" s="2">
        <f t="shared" si="8"/>
        <v>0.01761870492</v>
      </c>
      <c r="O550" s="2"/>
      <c r="P550" s="2"/>
      <c r="Q550" s="2"/>
      <c r="R550" s="4"/>
    </row>
    <row r="551" ht="14.25" customHeight="1">
      <c r="K551" s="2">
        <v>0.00549</v>
      </c>
      <c r="L551" s="2">
        <f t="shared" si="6"/>
        <v>0.00006027838326</v>
      </c>
      <c r="M551" s="2">
        <f t="shared" si="7"/>
        <v>0.0698626462</v>
      </c>
      <c r="N551" s="2">
        <f t="shared" si="8"/>
        <v>0.01765504796</v>
      </c>
      <c r="O551" s="2"/>
      <c r="P551" s="2"/>
      <c r="Q551" s="2"/>
      <c r="R551" s="4"/>
    </row>
    <row r="552" ht="14.25" customHeight="1">
      <c r="K552" s="2">
        <v>0.0055</v>
      </c>
      <c r="L552" s="2">
        <f t="shared" si="6"/>
        <v>0.00006049816999</v>
      </c>
      <c r="M552" s="2">
        <f t="shared" si="7"/>
        <v>0.07011737901</v>
      </c>
      <c r="N552" s="2">
        <f t="shared" si="8"/>
        <v>0.01769141393</v>
      </c>
      <c r="O552" s="2"/>
      <c r="P552" s="2"/>
      <c r="Q552" s="2"/>
      <c r="R552" s="4"/>
    </row>
    <row r="553" ht="14.25" customHeight="1">
      <c r="K553" s="2">
        <v>0.00551</v>
      </c>
      <c r="L553" s="2">
        <f t="shared" si="6"/>
        <v>0.00006071835664</v>
      </c>
      <c r="M553" s="2">
        <f t="shared" si="7"/>
        <v>0.07037257535</v>
      </c>
      <c r="N553" s="2">
        <f t="shared" si="8"/>
        <v>0.01772780286</v>
      </c>
      <c r="O553" s="2"/>
      <c r="P553" s="2"/>
      <c r="Q553" s="2"/>
      <c r="R553" s="4"/>
    </row>
    <row r="554" ht="14.25" customHeight="1">
      <c r="K554" s="2">
        <v>0.00552</v>
      </c>
      <c r="L554" s="2">
        <f t="shared" si="6"/>
        <v>0.00006093894322</v>
      </c>
      <c r="M554" s="2">
        <f t="shared" si="7"/>
        <v>0.07062823519</v>
      </c>
      <c r="N554" s="2">
        <f t="shared" si="8"/>
        <v>0.01776421481</v>
      </c>
      <c r="O554" s="2"/>
      <c r="P554" s="2"/>
      <c r="Q554" s="2"/>
      <c r="R554" s="4"/>
    </row>
    <row r="555" ht="14.25" customHeight="1">
      <c r="K555" s="2">
        <v>0.00553</v>
      </c>
      <c r="L555" s="2">
        <f t="shared" si="6"/>
        <v>0.00006115992973</v>
      </c>
      <c r="M555" s="2">
        <f t="shared" si="7"/>
        <v>0.07088435856</v>
      </c>
      <c r="N555" s="2">
        <f t="shared" si="8"/>
        <v>0.01780064981</v>
      </c>
      <c r="O555" s="2"/>
      <c r="P555" s="2"/>
      <c r="Q555" s="2"/>
      <c r="R555" s="4"/>
    </row>
    <row r="556" ht="14.25" customHeight="1">
      <c r="K556" s="2">
        <v>0.00554</v>
      </c>
      <c r="L556" s="2">
        <f t="shared" si="6"/>
        <v>0.00006138131617</v>
      </c>
      <c r="M556" s="2">
        <f t="shared" si="7"/>
        <v>0.07114094544</v>
      </c>
      <c r="N556" s="2">
        <f t="shared" si="8"/>
        <v>0.01783710789</v>
      </c>
      <c r="O556" s="2"/>
      <c r="P556" s="2"/>
      <c r="Q556" s="2"/>
      <c r="R556" s="4"/>
    </row>
    <row r="557" ht="14.25" customHeight="1">
      <c r="K557" s="2">
        <v>0.00555</v>
      </c>
      <c r="L557" s="2">
        <f t="shared" si="6"/>
        <v>0.00006160310253</v>
      </c>
      <c r="M557" s="2">
        <f t="shared" si="7"/>
        <v>0.07139799583</v>
      </c>
      <c r="N557" s="2">
        <f t="shared" si="8"/>
        <v>0.01787358912</v>
      </c>
      <c r="O557" s="2"/>
      <c r="P557" s="2"/>
      <c r="Q557" s="2"/>
      <c r="R557" s="4"/>
    </row>
    <row r="558" ht="14.25" customHeight="1">
      <c r="K558" s="2">
        <v>0.00556</v>
      </c>
      <c r="L558" s="2">
        <f t="shared" si="6"/>
        <v>0.00006182528882</v>
      </c>
      <c r="M558" s="2">
        <f t="shared" si="7"/>
        <v>0.07165550974</v>
      </c>
      <c r="N558" s="2">
        <f t="shared" si="8"/>
        <v>0.01791009352</v>
      </c>
      <c r="O558" s="2"/>
      <c r="P558" s="2"/>
      <c r="Q558" s="2"/>
      <c r="R558" s="4"/>
    </row>
    <row r="559" ht="14.25" customHeight="1">
      <c r="K559" s="2">
        <v>0.00557</v>
      </c>
      <c r="L559" s="2">
        <f t="shared" si="6"/>
        <v>0.00006204787503</v>
      </c>
      <c r="M559" s="2">
        <f t="shared" si="7"/>
        <v>0.07191348716</v>
      </c>
      <c r="N559" s="2">
        <f t="shared" si="8"/>
        <v>0.01794662114</v>
      </c>
      <c r="O559" s="2"/>
      <c r="P559" s="2"/>
      <c r="Q559" s="2"/>
      <c r="R559" s="4"/>
    </row>
    <row r="560" ht="14.25" customHeight="1">
      <c r="K560" s="2">
        <v>0.00558</v>
      </c>
      <c r="L560" s="2">
        <f t="shared" si="6"/>
        <v>0.00006227086117</v>
      </c>
      <c r="M560" s="2">
        <f t="shared" si="7"/>
        <v>0.0721719281</v>
      </c>
      <c r="N560" s="2">
        <f t="shared" si="8"/>
        <v>0.01798317202</v>
      </c>
      <c r="O560" s="2"/>
      <c r="P560" s="2"/>
      <c r="Q560" s="2"/>
      <c r="R560" s="4"/>
    </row>
    <row r="561" ht="14.25" customHeight="1">
      <c r="K561" s="2">
        <v>0.00559</v>
      </c>
      <c r="L561" s="2">
        <f t="shared" si="6"/>
        <v>0.00006249424723</v>
      </c>
      <c r="M561" s="2">
        <f t="shared" si="7"/>
        <v>0.07243083254</v>
      </c>
      <c r="N561" s="2">
        <f t="shared" si="8"/>
        <v>0.01801974619</v>
      </c>
      <c r="O561" s="2"/>
      <c r="P561" s="2"/>
      <c r="Q561" s="2"/>
      <c r="R561" s="4"/>
    </row>
    <row r="562" ht="14.25" customHeight="1">
      <c r="K562" s="2">
        <v>0.0056</v>
      </c>
      <c r="L562" s="2">
        <f t="shared" si="6"/>
        <v>0.00006271803322</v>
      </c>
      <c r="M562" s="2">
        <f t="shared" si="7"/>
        <v>0.07269020051</v>
      </c>
      <c r="N562" s="2">
        <f t="shared" si="8"/>
        <v>0.01805634372</v>
      </c>
      <c r="O562" s="2"/>
      <c r="P562" s="2"/>
      <c r="Q562" s="2"/>
      <c r="R562" s="4"/>
    </row>
    <row r="563" ht="14.25" customHeight="1">
      <c r="K563" s="2">
        <v>0.00561</v>
      </c>
      <c r="L563" s="2">
        <f t="shared" si="6"/>
        <v>0.00006294221914</v>
      </c>
      <c r="M563" s="2">
        <f t="shared" si="7"/>
        <v>0.07295003198</v>
      </c>
      <c r="N563" s="2">
        <f t="shared" si="8"/>
        <v>0.01809296463</v>
      </c>
      <c r="O563" s="2"/>
      <c r="P563" s="2"/>
      <c r="Q563" s="2"/>
      <c r="R563" s="4"/>
    </row>
    <row r="564" ht="14.25" customHeight="1">
      <c r="K564" s="2">
        <v>0.00562</v>
      </c>
      <c r="L564" s="2">
        <f t="shared" si="6"/>
        <v>0.00006316680498</v>
      </c>
      <c r="M564" s="2">
        <f t="shared" si="7"/>
        <v>0.07321032697</v>
      </c>
      <c r="N564" s="2">
        <f t="shared" si="8"/>
        <v>0.01812960896</v>
      </c>
      <c r="O564" s="2"/>
      <c r="P564" s="2"/>
      <c r="Q564" s="2"/>
      <c r="R564" s="4"/>
    </row>
    <row r="565" ht="14.25" customHeight="1">
      <c r="K565" s="2">
        <v>0.00563</v>
      </c>
      <c r="L565" s="2">
        <f t="shared" si="6"/>
        <v>0.00006339179074</v>
      </c>
      <c r="M565" s="2">
        <f t="shared" si="7"/>
        <v>0.07347108547</v>
      </c>
      <c r="N565" s="2">
        <f t="shared" si="8"/>
        <v>0.01816627676</v>
      </c>
      <c r="O565" s="2"/>
      <c r="P565" s="2"/>
      <c r="Q565" s="2"/>
      <c r="R565" s="4"/>
    </row>
    <row r="566" ht="14.25" customHeight="1">
      <c r="K566" s="2">
        <v>0.00564</v>
      </c>
      <c r="L566" s="2">
        <f t="shared" si="6"/>
        <v>0.00006361717643</v>
      </c>
      <c r="M566" s="2">
        <f t="shared" si="7"/>
        <v>0.07373230748</v>
      </c>
      <c r="N566" s="2">
        <f t="shared" si="8"/>
        <v>0.01820296808</v>
      </c>
      <c r="O566" s="2"/>
      <c r="P566" s="2"/>
      <c r="Q566" s="2"/>
      <c r="R566" s="4"/>
    </row>
    <row r="567" ht="14.25" customHeight="1">
      <c r="K567" s="2">
        <v>0.00565</v>
      </c>
      <c r="L567" s="2">
        <f t="shared" si="6"/>
        <v>0.00006384296204</v>
      </c>
      <c r="M567" s="2">
        <f t="shared" si="7"/>
        <v>0.073993993</v>
      </c>
      <c r="N567" s="2">
        <f t="shared" si="8"/>
        <v>0.01823968294</v>
      </c>
      <c r="O567" s="2"/>
      <c r="P567" s="2"/>
      <c r="Q567" s="2"/>
      <c r="R567" s="4"/>
    </row>
    <row r="568" ht="14.25" customHeight="1">
      <c r="K568" s="2">
        <v>0.00566</v>
      </c>
      <c r="L568" s="2">
        <f t="shared" si="6"/>
        <v>0.00006406914757</v>
      </c>
      <c r="M568" s="2">
        <f t="shared" si="7"/>
        <v>0.07425614204</v>
      </c>
      <c r="N568" s="2">
        <f t="shared" si="8"/>
        <v>0.0182764214</v>
      </c>
      <c r="O568" s="2"/>
      <c r="P568" s="2"/>
      <c r="Q568" s="2"/>
      <c r="R568" s="4"/>
    </row>
    <row r="569" ht="14.25" customHeight="1">
      <c r="K569" s="2">
        <v>0.00567</v>
      </c>
      <c r="L569" s="2">
        <f t="shared" si="6"/>
        <v>0.00006429573303</v>
      </c>
      <c r="M569" s="2">
        <f t="shared" si="7"/>
        <v>0.07451875458</v>
      </c>
      <c r="N569" s="2">
        <f t="shared" si="8"/>
        <v>0.01831318349</v>
      </c>
      <c r="O569" s="2"/>
      <c r="P569" s="2"/>
      <c r="Q569" s="2"/>
      <c r="R569" s="4"/>
    </row>
    <row r="570" ht="14.25" customHeight="1">
      <c r="K570" s="2">
        <v>0.00568</v>
      </c>
      <c r="L570" s="2">
        <f t="shared" si="6"/>
        <v>0.00006452271841</v>
      </c>
      <c r="M570" s="2">
        <f t="shared" si="7"/>
        <v>0.07478183064</v>
      </c>
      <c r="N570" s="2">
        <f t="shared" si="8"/>
        <v>0.01834996926</v>
      </c>
      <c r="O570" s="2"/>
      <c r="P570" s="2"/>
      <c r="Q570" s="2"/>
      <c r="R570" s="4"/>
    </row>
    <row r="571" ht="14.25" customHeight="1">
      <c r="K571" s="2">
        <v>0.00569</v>
      </c>
      <c r="L571" s="2">
        <f t="shared" si="6"/>
        <v>0.00006475010371</v>
      </c>
      <c r="M571" s="2">
        <f t="shared" si="7"/>
        <v>0.0750453702</v>
      </c>
      <c r="N571" s="2">
        <f t="shared" si="8"/>
        <v>0.01838677875</v>
      </c>
      <c r="O571" s="2"/>
      <c r="P571" s="2"/>
      <c r="Q571" s="2"/>
      <c r="R571" s="4"/>
    </row>
    <row r="572" ht="14.25" customHeight="1">
      <c r="K572" s="2">
        <v>0.0057</v>
      </c>
      <c r="L572" s="2">
        <f t="shared" si="6"/>
        <v>0.00006497788894</v>
      </c>
      <c r="M572" s="2">
        <f t="shared" si="7"/>
        <v>0.07530937328</v>
      </c>
      <c r="N572" s="2">
        <f t="shared" si="8"/>
        <v>0.018423612</v>
      </c>
      <c r="O572" s="2"/>
      <c r="P572" s="2"/>
      <c r="Q572" s="2"/>
      <c r="R572" s="4"/>
    </row>
    <row r="573" ht="14.25" customHeight="1">
      <c r="K573" s="2">
        <v>0.00571</v>
      </c>
      <c r="L573" s="2">
        <f t="shared" si="6"/>
        <v>0.00006520607408</v>
      </c>
      <c r="M573" s="2">
        <f t="shared" si="7"/>
        <v>0.07557383986</v>
      </c>
      <c r="N573" s="2">
        <f t="shared" si="8"/>
        <v>0.01846046906</v>
      </c>
      <c r="O573" s="2"/>
      <c r="P573" s="2"/>
      <c r="Q573" s="2"/>
      <c r="R573" s="4"/>
    </row>
    <row r="574" ht="14.25" customHeight="1">
      <c r="K574" s="2">
        <v>0.00572</v>
      </c>
      <c r="L574" s="2">
        <f t="shared" si="6"/>
        <v>0.00006543465915</v>
      </c>
      <c r="M574" s="2">
        <f t="shared" si="7"/>
        <v>0.07583876996</v>
      </c>
      <c r="N574" s="2">
        <f t="shared" si="8"/>
        <v>0.01849734995</v>
      </c>
      <c r="O574" s="2"/>
      <c r="P574" s="2"/>
      <c r="Q574" s="2"/>
      <c r="R574" s="4"/>
    </row>
    <row r="575" ht="14.25" customHeight="1">
      <c r="K575" s="2">
        <v>0.00573</v>
      </c>
      <c r="L575" s="2">
        <f t="shared" si="6"/>
        <v>0.00006566364414</v>
      </c>
      <c r="M575" s="2">
        <f t="shared" si="7"/>
        <v>0.07610416356</v>
      </c>
      <c r="N575" s="2">
        <f t="shared" si="8"/>
        <v>0.01853425473</v>
      </c>
      <c r="O575" s="2"/>
      <c r="P575" s="2"/>
      <c r="Q575" s="2"/>
      <c r="R575" s="4"/>
    </row>
    <row r="576" ht="14.25" customHeight="1">
      <c r="K576" s="2">
        <v>0.00574</v>
      </c>
      <c r="L576" s="2">
        <f t="shared" si="6"/>
        <v>0.00006589302905</v>
      </c>
      <c r="M576" s="2">
        <f t="shared" si="7"/>
        <v>0.07637002067</v>
      </c>
      <c r="N576" s="2">
        <f t="shared" si="8"/>
        <v>0.01857118344</v>
      </c>
      <c r="O576" s="2"/>
      <c r="P576" s="2"/>
      <c r="Q576" s="2"/>
      <c r="R576" s="4"/>
    </row>
    <row r="577" ht="14.25" customHeight="1">
      <c r="K577" s="2">
        <v>0.00575</v>
      </c>
      <c r="L577" s="2">
        <f t="shared" si="6"/>
        <v>0.00006612281389</v>
      </c>
      <c r="M577" s="2">
        <f t="shared" si="7"/>
        <v>0.07663634129</v>
      </c>
      <c r="N577" s="2">
        <f t="shared" si="8"/>
        <v>0.01860813612</v>
      </c>
      <c r="O577" s="2"/>
      <c r="P577" s="2"/>
      <c r="Q577" s="2"/>
      <c r="R577" s="4"/>
    </row>
    <row r="578" ht="14.25" customHeight="1">
      <c r="K578" s="2">
        <v>0.00576</v>
      </c>
      <c r="L578" s="2">
        <f t="shared" si="6"/>
        <v>0.00006635299864</v>
      </c>
      <c r="M578" s="2">
        <f t="shared" si="7"/>
        <v>0.07690312542</v>
      </c>
      <c r="N578" s="2">
        <f t="shared" si="8"/>
        <v>0.01864511281</v>
      </c>
      <c r="O578" s="2"/>
      <c r="P578" s="2"/>
      <c r="Q578" s="2"/>
      <c r="R578" s="4"/>
    </row>
    <row r="579" ht="14.25" customHeight="1">
      <c r="K579" s="2">
        <v>0.00577</v>
      </c>
      <c r="L579" s="2">
        <f t="shared" si="6"/>
        <v>0.00006658358331</v>
      </c>
      <c r="M579" s="2">
        <f t="shared" si="7"/>
        <v>0.07717037306</v>
      </c>
      <c r="N579" s="2">
        <f t="shared" si="8"/>
        <v>0.01868211355</v>
      </c>
      <c r="O579" s="2"/>
      <c r="P579" s="2"/>
      <c r="Q579" s="2"/>
      <c r="R579" s="4"/>
    </row>
    <row r="580" ht="14.25" customHeight="1">
      <c r="K580" s="2">
        <v>0.00578</v>
      </c>
      <c r="L580" s="2">
        <f t="shared" si="6"/>
        <v>0.00006681456791</v>
      </c>
      <c r="M580" s="2">
        <f t="shared" si="7"/>
        <v>0.0774380842</v>
      </c>
      <c r="N580" s="2">
        <f t="shared" si="8"/>
        <v>0.01871913839</v>
      </c>
      <c r="O580" s="2"/>
      <c r="P580" s="2"/>
      <c r="Q580" s="2"/>
      <c r="R580" s="4"/>
    </row>
    <row r="581" ht="14.25" customHeight="1">
      <c r="K581" s="2">
        <v>0.00579</v>
      </c>
      <c r="L581" s="2">
        <f t="shared" si="6"/>
        <v>0.00006704595242</v>
      </c>
      <c r="M581" s="2">
        <f t="shared" si="7"/>
        <v>0.07770625885</v>
      </c>
      <c r="N581" s="2">
        <f t="shared" si="8"/>
        <v>0.01875618736</v>
      </c>
      <c r="O581" s="2"/>
      <c r="P581" s="2"/>
      <c r="Q581" s="2"/>
      <c r="R581" s="4"/>
    </row>
    <row r="582" ht="14.25" customHeight="1">
      <c r="K582" s="2">
        <v>0.0058</v>
      </c>
      <c r="L582" s="2">
        <f t="shared" si="6"/>
        <v>0.00006727773685</v>
      </c>
      <c r="M582" s="2">
        <f t="shared" si="7"/>
        <v>0.07797489701</v>
      </c>
      <c r="N582" s="2">
        <f t="shared" si="8"/>
        <v>0.01879326051</v>
      </c>
      <c r="O582" s="2"/>
      <c r="P582" s="2"/>
      <c r="Q582" s="2"/>
      <c r="R582" s="4"/>
    </row>
    <row r="583" ht="14.25" customHeight="1">
      <c r="K583" s="2">
        <v>0.00581</v>
      </c>
      <c r="L583" s="2">
        <f t="shared" si="6"/>
        <v>0.00006750992121</v>
      </c>
      <c r="M583" s="2">
        <f t="shared" si="7"/>
        <v>0.07824399868</v>
      </c>
      <c r="N583" s="2">
        <f t="shared" si="8"/>
        <v>0.01883035788</v>
      </c>
      <c r="O583" s="2"/>
      <c r="P583" s="2"/>
      <c r="Q583" s="2"/>
      <c r="R583" s="4"/>
    </row>
    <row r="584" ht="14.25" customHeight="1">
      <c r="K584" s="2">
        <v>0.00582</v>
      </c>
      <c r="L584" s="2">
        <f t="shared" si="6"/>
        <v>0.00006774250548</v>
      </c>
      <c r="M584" s="2">
        <f t="shared" si="7"/>
        <v>0.07851356385</v>
      </c>
      <c r="N584" s="2">
        <f t="shared" si="8"/>
        <v>0.01886747952</v>
      </c>
      <c r="O584" s="2"/>
      <c r="P584" s="2"/>
      <c r="Q584" s="2"/>
      <c r="R584" s="4"/>
    </row>
    <row r="585" ht="14.25" customHeight="1">
      <c r="K585" s="2">
        <v>0.00583</v>
      </c>
      <c r="L585" s="2">
        <f t="shared" si="6"/>
        <v>0.00006797548967</v>
      </c>
      <c r="M585" s="2">
        <f t="shared" si="7"/>
        <v>0.07878359252</v>
      </c>
      <c r="N585" s="2">
        <f t="shared" si="8"/>
        <v>0.01890462545</v>
      </c>
      <c r="O585" s="2"/>
      <c r="P585" s="2"/>
      <c r="Q585" s="2"/>
      <c r="R585" s="4"/>
    </row>
    <row r="586" ht="14.25" customHeight="1">
      <c r="K586" s="2">
        <v>0.00584</v>
      </c>
      <c r="L586" s="2">
        <f t="shared" si="6"/>
        <v>0.00006820887377</v>
      </c>
      <c r="M586" s="2">
        <f t="shared" si="7"/>
        <v>0.0790540847</v>
      </c>
      <c r="N586" s="2">
        <f t="shared" si="8"/>
        <v>0.01894179573</v>
      </c>
      <c r="O586" s="2"/>
      <c r="P586" s="2"/>
      <c r="Q586" s="2"/>
      <c r="R586" s="4"/>
    </row>
    <row r="587" ht="14.25" customHeight="1">
      <c r="K587" s="2">
        <v>0.00585</v>
      </c>
      <c r="L587" s="2">
        <f t="shared" si="6"/>
        <v>0.0000684426578</v>
      </c>
      <c r="M587" s="2">
        <f t="shared" si="7"/>
        <v>0.07932504039</v>
      </c>
      <c r="N587" s="2">
        <f t="shared" si="8"/>
        <v>0.0189789904</v>
      </c>
      <c r="O587" s="2"/>
      <c r="P587" s="2"/>
      <c r="Q587" s="2"/>
      <c r="R587" s="4"/>
    </row>
    <row r="588" ht="14.25" customHeight="1">
      <c r="K588" s="2">
        <v>0.00586</v>
      </c>
      <c r="L588" s="2">
        <f t="shared" si="6"/>
        <v>0.00006867684175</v>
      </c>
      <c r="M588" s="2">
        <f t="shared" si="7"/>
        <v>0.07959645958</v>
      </c>
      <c r="N588" s="2">
        <f t="shared" si="8"/>
        <v>0.01901620949</v>
      </c>
      <c r="O588" s="2"/>
      <c r="P588" s="2"/>
      <c r="Q588" s="2"/>
      <c r="R588" s="4"/>
    </row>
    <row r="589" ht="14.25" customHeight="1">
      <c r="K589" s="2">
        <v>0.00587</v>
      </c>
      <c r="L589" s="2">
        <f t="shared" si="6"/>
        <v>0.00006891142561</v>
      </c>
      <c r="M589" s="2">
        <f t="shared" si="7"/>
        <v>0.07986834228</v>
      </c>
      <c r="N589" s="2">
        <f t="shared" si="8"/>
        <v>0.01905345305</v>
      </c>
      <c r="O589" s="2"/>
      <c r="P589" s="2"/>
      <c r="Q589" s="2"/>
      <c r="R589" s="4"/>
    </row>
    <row r="590" ht="14.25" customHeight="1">
      <c r="K590" s="2">
        <v>0.00588</v>
      </c>
      <c r="L590" s="2">
        <f t="shared" si="6"/>
        <v>0.00006914640939</v>
      </c>
      <c r="M590" s="2">
        <f t="shared" si="7"/>
        <v>0.08014068848</v>
      </c>
      <c r="N590" s="2">
        <f t="shared" si="8"/>
        <v>0.01909072113</v>
      </c>
      <c r="O590" s="2"/>
      <c r="P590" s="2"/>
      <c r="Q590" s="2"/>
      <c r="R590" s="4"/>
    </row>
    <row r="591" ht="14.25" customHeight="1">
      <c r="K591" s="2">
        <v>0.00589</v>
      </c>
      <c r="L591" s="2">
        <f t="shared" si="6"/>
        <v>0.00006938179308</v>
      </c>
      <c r="M591" s="2">
        <f t="shared" si="7"/>
        <v>0.08041349818</v>
      </c>
      <c r="N591" s="2">
        <f t="shared" si="8"/>
        <v>0.01912801376</v>
      </c>
      <c r="O591" s="2"/>
      <c r="P591" s="2"/>
      <c r="Q591" s="2"/>
      <c r="R591" s="4"/>
    </row>
    <row r="592" ht="14.25" customHeight="1">
      <c r="K592" s="2">
        <v>0.0059</v>
      </c>
      <c r="L592" s="2">
        <f t="shared" si="6"/>
        <v>0.0000696175767</v>
      </c>
      <c r="M592" s="2">
        <f t="shared" si="7"/>
        <v>0.08068677139</v>
      </c>
      <c r="N592" s="2">
        <f t="shared" si="8"/>
        <v>0.01916533098</v>
      </c>
      <c r="O592" s="2"/>
      <c r="P592" s="2"/>
      <c r="Q592" s="2"/>
      <c r="R592" s="4"/>
    </row>
    <row r="593" ht="14.25" customHeight="1">
      <c r="K593" s="2">
        <v>0.00591</v>
      </c>
      <c r="L593" s="2">
        <f t="shared" si="6"/>
        <v>0.00006985376023</v>
      </c>
      <c r="M593" s="2">
        <f t="shared" si="7"/>
        <v>0.0809605081</v>
      </c>
      <c r="N593" s="2">
        <f t="shared" si="8"/>
        <v>0.01920267284</v>
      </c>
      <c r="O593" s="2"/>
      <c r="P593" s="2"/>
      <c r="Q593" s="2"/>
      <c r="R593" s="4"/>
    </row>
    <row r="594" ht="14.25" customHeight="1">
      <c r="K594" s="2">
        <v>0.00592</v>
      </c>
      <c r="L594" s="2">
        <f t="shared" si="6"/>
        <v>0.00007009034367</v>
      </c>
      <c r="M594" s="2">
        <f t="shared" si="7"/>
        <v>0.08123470832</v>
      </c>
      <c r="N594" s="2">
        <f t="shared" si="8"/>
        <v>0.01924003938</v>
      </c>
      <c r="O594" s="2"/>
      <c r="P594" s="2"/>
      <c r="Q594" s="2"/>
      <c r="R594" s="4"/>
    </row>
    <row r="595" ht="14.25" customHeight="1">
      <c r="K595" s="2">
        <v>0.00593</v>
      </c>
      <c r="L595" s="2">
        <f t="shared" si="6"/>
        <v>0.00007032732703</v>
      </c>
      <c r="M595" s="2">
        <f t="shared" si="7"/>
        <v>0.08150937203</v>
      </c>
      <c r="N595" s="2">
        <f t="shared" si="8"/>
        <v>0.01927743064</v>
      </c>
      <c r="O595" s="2"/>
      <c r="P595" s="2"/>
      <c r="Q595" s="2"/>
      <c r="R595" s="4"/>
    </row>
    <row r="596" ht="14.25" customHeight="1">
      <c r="K596" s="2">
        <v>0.00594</v>
      </c>
      <c r="L596" s="2">
        <f t="shared" si="6"/>
        <v>0.00007056471031</v>
      </c>
      <c r="M596" s="2">
        <f t="shared" si="7"/>
        <v>0.08178449925</v>
      </c>
      <c r="N596" s="2">
        <f t="shared" si="8"/>
        <v>0.01931484667</v>
      </c>
      <c r="O596" s="2"/>
      <c r="P596" s="2"/>
      <c r="Q596" s="2"/>
      <c r="R596" s="4"/>
    </row>
    <row r="597" ht="14.25" customHeight="1">
      <c r="K597" s="2">
        <v>0.00595</v>
      </c>
      <c r="L597" s="2">
        <f t="shared" si="6"/>
        <v>0.0000708024935</v>
      </c>
      <c r="M597" s="2">
        <f t="shared" si="7"/>
        <v>0.08206008997</v>
      </c>
      <c r="N597" s="2">
        <f t="shared" si="8"/>
        <v>0.01935228749</v>
      </c>
      <c r="O597" s="2"/>
      <c r="P597" s="2"/>
      <c r="Q597" s="2"/>
      <c r="R597" s="4"/>
    </row>
    <row r="598" ht="14.25" customHeight="1">
      <c r="K598" s="2">
        <v>0.00596</v>
      </c>
      <c r="L598" s="2">
        <f t="shared" si="6"/>
        <v>0.00007104067661</v>
      </c>
      <c r="M598" s="2">
        <f t="shared" si="7"/>
        <v>0.08233614419</v>
      </c>
      <c r="N598" s="2">
        <f t="shared" si="8"/>
        <v>0.01938975316</v>
      </c>
      <c r="O598" s="2"/>
      <c r="P598" s="2"/>
      <c r="Q598" s="2"/>
      <c r="R598" s="4"/>
    </row>
    <row r="599" ht="14.25" customHeight="1">
      <c r="K599" s="2">
        <v>0.00597</v>
      </c>
      <c r="L599" s="2">
        <f t="shared" si="6"/>
        <v>0.00007127925963</v>
      </c>
      <c r="M599" s="2">
        <f t="shared" si="7"/>
        <v>0.08261266192</v>
      </c>
      <c r="N599" s="2">
        <f t="shared" si="8"/>
        <v>0.01942724372</v>
      </c>
      <c r="O599" s="2"/>
      <c r="P599" s="2"/>
      <c r="Q599" s="2"/>
      <c r="R599" s="4"/>
    </row>
    <row r="600" ht="14.25" customHeight="1">
      <c r="K600" s="2">
        <v>0.00598</v>
      </c>
      <c r="L600" s="2">
        <f t="shared" si="6"/>
        <v>0.00007151824257</v>
      </c>
      <c r="M600" s="2">
        <f t="shared" si="7"/>
        <v>0.08288964314</v>
      </c>
      <c r="N600" s="2">
        <f t="shared" si="8"/>
        <v>0.01946475921</v>
      </c>
      <c r="O600" s="2"/>
      <c r="P600" s="2"/>
      <c r="Q600" s="2"/>
      <c r="R600" s="4"/>
    </row>
    <row r="601" ht="14.25" customHeight="1">
      <c r="K601" s="2">
        <v>0.00599</v>
      </c>
      <c r="L601" s="2">
        <f t="shared" si="6"/>
        <v>0.00007175762542</v>
      </c>
      <c r="M601" s="2">
        <f t="shared" si="7"/>
        <v>0.08316708786</v>
      </c>
      <c r="N601" s="2">
        <f t="shared" si="8"/>
        <v>0.01950229967</v>
      </c>
      <c r="O601" s="2"/>
      <c r="P601" s="2"/>
      <c r="Q601" s="2"/>
      <c r="R601" s="4"/>
    </row>
    <row r="602" ht="14.25" customHeight="1">
      <c r="K602" s="2">
        <v>0.006</v>
      </c>
      <c r="L602" s="2">
        <f t="shared" si="6"/>
        <v>0.00007199740819</v>
      </c>
      <c r="M602" s="2">
        <f t="shared" si="7"/>
        <v>0.08344499609</v>
      </c>
      <c r="N602" s="2">
        <f t="shared" si="8"/>
        <v>0.01953986514</v>
      </c>
      <c r="O602" s="2"/>
      <c r="P602" s="2"/>
      <c r="Q602" s="2"/>
      <c r="R602" s="4"/>
    </row>
    <row r="603" ht="14.25" customHeight="1">
      <c r="K603" s="2">
        <v>0.00601</v>
      </c>
      <c r="L603" s="2">
        <f t="shared" si="6"/>
        <v>0.00007223759087</v>
      </c>
      <c r="M603" s="2">
        <f t="shared" si="7"/>
        <v>0.08372336781</v>
      </c>
      <c r="N603" s="2">
        <f t="shared" si="8"/>
        <v>0.01957745566</v>
      </c>
      <c r="O603" s="2"/>
      <c r="P603" s="2"/>
      <c r="Q603" s="2"/>
      <c r="R603" s="4"/>
    </row>
    <row r="604" ht="14.25" customHeight="1">
      <c r="K604" s="2">
        <v>0.00602</v>
      </c>
      <c r="L604" s="2">
        <f t="shared" si="6"/>
        <v>0.00007247817346</v>
      </c>
      <c r="M604" s="2">
        <f t="shared" si="7"/>
        <v>0.08400220304</v>
      </c>
      <c r="N604" s="2">
        <f t="shared" si="8"/>
        <v>0.01961507128</v>
      </c>
      <c r="O604" s="2"/>
      <c r="P604" s="2"/>
      <c r="Q604" s="2"/>
      <c r="R604" s="4"/>
    </row>
    <row r="605" ht="14.25" customHeight="1">
      <c r="K605" s="2">
        <v>0.00603</v>
      </c>
      <c r="L605" s="2">
        <f t="shared" si="6"/>
        <v>0.00007271915596</v>
      </c>
      <c r="M605" s="2">
        <f t="shared" si="7"/>
        <v>0.08428150176</v>
      </c>
      <c r="N605" s="2">
        <f t="shared" si="8"/>
        <v>0.01965271204</v>
      </c>
      <c r="O605" s="2"/>
      <c r="P605" s="2"/>
      <c r="Q605" s="2"/>
      <c r="R605" s="4"/>
    </row>
    <row r="606" ht="14.25" customHeight="1">
      <c r="K606" s="2">
        <v>0.00604</v>
      </c>
      <c r="L606" s="2">
        <f t="shared" si="6"/>
        <v>0.00007296053838</v>
      </c>
      <c r="M606" s="2">
        <f t="shared" si="7"/>
        <v>0.08456126398</v>
      </c>
      <c r="N606" s="2">
        <f t="shared" si="8"/>
        <v>0.01969037798</v>
      </c>
      <c r="O606" s="2"/>
      <c r="P606" s="2"/>
      <c r="Q606" s="2"/>
      <c r="R606" s="4"/>
    </row>
    <row r="607" ht="14.25" customHeight="1">
      <c r="K607" s="2">
        <v>0.00605</v>
      </c>
      <c r="L607" s="2">
        <f t="shared" si="6"/>
        <v>0.00007320232071</v>
      </c>
      <c r="M607" s="2">
        <f t="shared" si="7"/>
        <v>0.0848414897</v>
      </c>
      <c r="N607" s="2">
        <f t="shared" si="8"/>
        <v>0.01972806914</v>
      </c>
      <c r="O607" s="2"/>
      <c r="P607" s="2"/>
      <c r="Q607" s="2"/>
      <c r="R607" s="4"/>
    </row>
    <row r="608" ht="14.25" customHeight="1">
      <c r="K608" s="2">
        <v>0.00606</v>
      </c>
      <c r="L608" s="2">
        <f t="shared" si="6"/>
        <v>0.00007344450295</v>
      </c>
      <c r="M608" s="2">
        <f t="shared" si="7"/>
        <v>0.08512217892</v>
      </c>
      <c r="N608" s="2">
        <f t="shared" si="8"/>
        <v>0.01976578556</v>
      </c>
      <c r="O608" s="2"/>
      <c r="P608" s="2"/>
      <c r="Q608" s="2"/>
      <c r="R608" s="4"/>
    </row>
    <row r="609" ht="14.25" customHeight="1">
      <c r="K609" s="2">
        <v>0.00607</v>
      </c>
      <c r="L609" s="2">
        <f t="shared" si="6"/>
        <v>0.00007368708511</v>
      </c>
      <c r="M609" s="2">
        <f t="shared" si="7"/>
        <v>0.08540333164</v>
      </c>
      <c r="N609" s="2">
        <f t="shared" si="8"/>
        <v>0.01980352728</v>
      </c>
      <c r="O609" s="2"/>
      <c r="P609" s="2"/>
      <c r="Q609" s="2"/>
      <c r="R609" s="4"/>
    </row>
    <row r="610" ht="14.25" customHeight="1">
      <c r="K610" s="2">
        <v>0.00608</v>
      </c>
      <c r="L610" s="2">
        <f t="shared" si="6"/>
        <v>0.00007393006717</v>
      </c>
      <c r="M610" s="2">
        <f t="shared" si="7"/>
        <v>0.08568494785</v>
      </c>
      <c r="N610" s="2">
        <f t="shared" si="8"/>
        <v>0.01984129436</v>
      </c>
      <c r="O610" s="2"/>
      <c r="P610" s="2"/>
      <c r="Q610" s="2"/>
      <c r="R610" s="4"/>
    </row>
    <row r="611" ht="14.25" customHeight="1">
      <c r="K611" s="2">
        <v>0.00609</v>
      </c>
      <c r="L611" s="2">
        <f t="shared" si="6"/>
        <v>0.00007417344915</v>
      </c>
      <c r="M611" s="2">
        <f t="shared" si="7"/>
        <v>0.08596702756</v>
      </c>
      <c r="N611" s="2">
        <f t="shared" si="8"/>
        <v>0.01987908682</v>
      </c>
      <c r="O611" s="2"/>
      <c r="P611" s="2"/>
      <c r="Q611" s="2"/>
      <c r="R611" s="4"/>
    </row>
    <row r="612" ht="14.25" customHeight="1">
      <c r="K612" s="2">
        <v>0.0061</v>
      </c>
      <c r="L612" s="2">
        <f t="shared" si="6"/>
        <v>0.00007441723104</v>
      </c>
      <c r="M612" s="2">
        <f t="shared" si="7"/>
        <v>0.08624957077</v>
      </c>
      <c r="N612" s="2">
        <f t="shared" si="8"/>
        <v>0.01991690471</v>
      </c>
      <c r="O612" s="2"/>
      <c r="P612" s="2"/>
      <c r="Q612" s="2"/>
      <c r="R612" s="4"/>
    </row>
    <row r="613" ht="14.25" customHeight="1">
      <c r="K613" s="2">
        <v>0.00611</v>
      </c>
      <c r="L613" s="2">
        <f t="shared" si="6"/>
        <v>0.00007466141284</v>
      </c>
      <c r="M613" s="2">
        <f t="shared" si="7"/>
        <v>0.08653257748</v>
      </c>
      <c r="N613" s="2">
        <f t="shared" si="8"/>
        <v>0.01995474807</v>
      </c>
      <c r="O613" s="2"/>
      <c r="P613" s="2"/>
      <c r="Q613" s="2"/>
      <c r="R613" s="4"/>
    </row>
    <row r="614" ht="14.25" customHeight="1">
      <c r="K614" s="2">
        <v>0.00612</v>
      </c>
      <c r="L614" s="2">
        <f t="shared" si="6"/>
        <v>0.00007490599455</v>
      </c>
      <c r="M614" s="2">
        <f t="shared" si="7"/>
        <v>0.08681604768</v>
      </c>
      <c r="N614" s="2">
        <f t="shared" si="8"/>
        <v>0.01999261694</v>
      </c>
      <c r="O614" s="2"/>
      <c r="P614" s="2"/>
      <c r="Q614" s="2"/>
      <c r="R614" s="4"/>
    </row>
    <row r="615" ht="14.25" customHeight="1">
      <c r="K615" s="2">
        <v>0.00613</v>
      </c>
      <c r="L615" s="2">
        <f t="shared" si="6"/>
        <v>0.00007515097617</v>
      </c>
      <c r="M615" s="2">
        <f t="shared" si="7"/>
        <v>0.08709998138</v>
      </c>
      <c r="N615" s="2">
        <f t="shared" si="8"/>
        <v>0.02003051137</v>
      </c>
      <c r="O615" s="2"/>
      <c r="P615" s="2"/>
      <c r="Q615" s="2"/>
      <c r="R615" s="4"/>
    </row>
    <row r="616" ht="14.25" customHeight="1">
      <c r="K616" s="2">
        <v>0.00614</v>
      </c>
      <c r="L616" s="2">
        <f t="shared" si="6"/>
        <v>0.00007539635769</v>
      </c>
      <c r="M616" s="2">
        <f t="shared" si="7"/>
        <v>0.08738437857</v>
      </c>
      <c r="N616" s="2">
        <f t="shared" si="8"/>
        <v>0.02006843139</v>
      </c>
      <c r="O616" s="2"/>
      <c r="P616" s="2"/>
      <c r="Q616" s="2"/>
      <c r="R616" s="4"/>
    </row>
    <row r="617" ht="14.25" customHeight="1">
      <c r="K617" s="2">
        <v>0.00615</v>
      </c>
      <c r="L617" s="2">
        <f t="shared" si="6"/>
        <v>0.00007564213913</v>
      </c>
      <c r="M617" s="2">
        <f t="shared" si="7"/>
        <v>0.08766923926</v>
      </c>
      <c r="N617" s="2">
        <f t="shared" si="8"/>
        <v>0.02010637706</v>
      </c>
      <c r="O617" s="2"/>
      <c r="P617" s="2"/>
      <c r="Q617" s="2"/>
      <c r="R617" s="4"/>
    </row>
    <row r="618" ht="14.25" customHeight="1">
      <c r="K618" s="2">
        <v>0.00616</v>
      </c>
      <c r="L618" s="2">
        <f t="shared" si="6"/>
        <v>0.00007588832048</v>
      </c>
      <c r="M618" s="2">
        <f t="shared" si="7"/>
        <v>0.08795456344</v>
      </c>
      <c r="N618" s="2">
        <f t="shared" si="8"/>
        <v>0.0201443484</v>
      </c>
      <c r="O618" s="2"/>
      <c r="P618" s="2"/>
      <c r="Q618" s="2"/>
      <c r="R618" s="4"/>
    </row>
    <row r="619" ht="14.25" customHeight="1">
      <c r="K619" s="2">
        <v>0.00617</v>
      </c>
      <c r="L619" s="2">
        <f t="shared" si="6"/>
        <v>0.00007613490174</v>
      </c>
      <c r="M619" s="2">
        <f t="shared" si="7"/>
        <v>0.08824035111</v>
      </c>
      <c r="N619" s="2">
        <f t="shared" si="8"/>
        <v>0.02018234547</v>
      </c>
      <c r="O619" s="2"/>
      <c r="P619" s="2"/>
      <c r="Q619" s="2"/>
      <c r="R619" s="4"/>
    </row>
    <row r="620" ht="14.25" customHeight="1">
      <c r="K620" s="2">
        <v>0.00618</v>
      </c>
      <c r="L620" s="2">
        <f t="shared" si="6"/>
        <v>0.0000763818829</v>
      </c>
      <c r="M620" s="2">
        <f t="shared" si="7"/>
        <v>0.08852660229</v>
      </c>
      <c r="N620" s="2">
        <f t="shared" si="8"/>
        <v>0.0202203683</v>
      </c>
      <c r="O620" s="2"/>
      <c r="P620" s="2"/>
      <c r="Q620" s="2"/>
      <c r="R620" s="4"/>
    </row>
    <row r="621" ht="14.25" customHeight="1">
      <c r="K621" s="2">
        <v>0.00619</v>
      </c>
      <c r="L621" s="2">
        <f t="shared" si="6"/>
        <v>0.00007662926398</v>
      </c>
      <c r="M621" s="2">
        <f t="shared" si="7"/>
        <v>0.08881331695</v>
      </c>
      <c r="N621" s="2">
        <f t="shared" si="8"/>
        <v>0.02025841693</v>
      </c>
      <c r="O621" s="2"/>
      <c r="P621" s="2"/>
      <c r="Q621" s="2"/>
      <c r="R621" s="4"/>
    </row>
    <row r="622" ht="14.25" customHeight="1">
      <c r="K622" s="2">
        <v>0.0062</v>
      </c>
      <c r="L622" s="2">
        <f t="shared" si="6"/>
        <v>0.00007687704496</v>
      </c>
      <c r="M622" s="2">
        <f t="shared" si="7"/>
        <v>0.08910049511</v>
      </c>
      <c r="N622" s="2">
        <f t="shared" si="8"/>
        <v>0.02029649141</v>
      </c>
      <c r="O622" s="2"/>
      <c r="P622" s="2"/>
      <c r="Q622" s="2"/>
      <c r="R622" s="4"/>
    </row>
    <row r="623" ht="14.25" customHeight="1">
      <c r="K623" s="2">
        <v>0.00621</v>
      </c>
      <c r="L623" s="2">
        <f t="shared" si="6"/>
        <v>0.00007712522585</v>
      </c>
      <c r="M623" s="2">
        <f t="shared" si="7"/>
        <v>0.08938813676</v>
      </c>
      <c r="N623" s="2">
        <f t="shared" si="8"/>
        <v>0.02033459178</v>
      </c>
      <c r="O623" s="2"/>
      <c r="P623" s="2"/>
      <c r="Q623" s="2"/>
      <c r="R623" s="4"/>
    </row>
    <row r="624" ht="14.25" customHeight="1">
      <c r="K624" s="2">
        <v>0.00622</v>
      </c>
      <c r="L624" s="2">
        <f t="shared" si="6"/>
        <v>0.00007737380665</v>
      </c>
      <c r="M624" s="2">
        <f t="shared" si="7"/>
        <v>0.0896762419</v>
      </c>
      <c r="N624" s="2">
        <f t="shared" si="8"/>
        <v>0.02037271808</v>
      </c>
      <c r="O624" s="2"/>
      <c r="P624" s="2"/>
      <c r="Q624" s="2"/>
      <c r="R624" s="4"/>
    </row>
    <row r="625" ht="14.25" customHeight="1">
      <c r="K625" s="2">
        <v>0.00623</v>
      </c>
      <c r="L625" s="2">
        <f t="shared" si="6"/>
        <v>0.00007762278735</v>
      </c>
      <c r="M625" s="2">
        <f t="shared" si="7"/>
        <v>0.08996481054</v>
      </c>
      <c r="N625" s="2">
        <f t="shared" si="8"/>
        <v>0.02041087035</v>
      </c>
      <c r="O625" s="2"/>
      <c r="P625" s="2"/>
      <c r="Q625" s="2"/>
      <c r="R625" s="4"/>
    </row>
    <row r="626" ht="14.25" customHeight="1">
      <c r="K626" s="2">
        <v>0.00624</v>
      </c>
      <c r="L626" s="2">
        <f t="shared" si="6"/>
        <v>0.00007787216796</v>
      </c>
      <c r="M626" s="2">
        <f t="shared" si="7"/>
        <v>0.09025384267</v>
      </c>
      <c r="N626" s="2">
        <f t="shared" si="8"/>
        <v>0.02044904864</v>
      </c>
      <c r="O626" s="2"/>
      <c r="P626" s="2"/>
      <c r="Q626" s="2"/>
      <c r="R626" s="4"/>
    </row>
    <row r="627" ht="14.25" customHeight="1">
      <c r="K627" s="2">
        <v>0.00625</v>
      </c>
      <c r="L627" s="2">
        <f t="shared" si="6"/>
        <v>0.00007812194848</v>
      </c>
      <c r="M627" s="2">
        <f t="shared" si="7"/>
        <v>0.09054333829</v>
      </c>
      <c r="N627" s="2">
        <f t="shared" si="8"/>
        <v>0.02048725298</v>
      </c>
      <c r="O627" s="2"/>
      <c r="P627" s="2"/>
      <c r="Q627" s="2"/>
      <c r="R627" s="4"/>
    </row>
    <row r="628" ht="14.25" customHeight="1">
      <c r="K628" s="2">
        <v>0.00626</v>
      </c>
      <c r="L628" s="2">
        <f t="shared" si="6"/>
        <v>0.0000783721289</v>
      </c>
      <c r="M628" s="2">
        <f t="shared" si="7"/>
        <v>0.0908332974</v>
      </c>
      <c r="N628" s="2">
        <f t="shared" si="8"/>
        <v>0.02052548342</v>
      </c>
      <c r="O628" s="2"/>
      <c r="P628" s="2"/>
      <c r="Q628" s="2"/>
      <c r="R628" s="4"/>
    </row>
    <row r="629" ht="14.25" customHeight="1">
      <c r="K629" s="2">
        <v>0.00627</v>
      </c>
      <c r="L629" s="2">
        <f t="shared" si="6"/>
        <v>0.00007862270923</v>
      </c>
      <c r="M629" s="2">
        <f t="shared" si="7"/>
        <v>0.09112372</v>
      </c>
      <c r="N629" s="2">
        <f t="shared" si="8"/>
        <v>0.02056374</v>
      </c>
      <c r="O629" s="2"/>
      <c r="P629" s="2"/>
      <c r="Q629" s="2"/>
      <c r="R629" s="4"/>
    </row>
    <row r="630" ht="14.25" customHeight="1">
      <c r="K630" s="2">
        <v>0.00628</v>
      </c>
      <c r="L630" s="2">
        <f t="shared" si="6"/>
        <v>0.00007887368947</v>
      </c>
      <c r="M630" s="2">
        <f t="shared" si="7"/>
        <v>0.0914146061</v>
      </c>
      <c r="N630" s="2">
        <f t="shared" si="8"/>
        <v>0.02060202276</v>
      </c>
      <c r="O630" s="2"/>
      <c r="P630" s="2"/>
      <c r="Q630" s="2"/>
      <c r="R630" s="4"/>
    </row>
    <row r="631" ht="14.25" customHeight="1">
      <c r="K631" s="2">
        <v>0.00629</v>
      </c>
      <c r="L631" s="2">
        <f t="shared" si="6"/>
        <v>0.00007912506961</v>
      </c>
      <c r="M631" s="2">
        <f t="shared" si="7"/>
        <v>0.09170595568</v>
      </c>
      <c r="N631" s="2">
        <f t="shared" si="8"/>
        <v>0.02064033174</v>
      </c>
      <c r="O631" s="2"/>
      <c r="P631" s="2"/>
      <c r="Q631" s="2"/>
      <c r="R631" s="4"/>
    </row>
    <row r="632" ht="14.25" customHeight="1">
      <c r="K632" s="2">
        <v>0.0063</v>
      </c>
      <c r="L632" s="2">
        <f t="shared" si="6"/>
        <v>0.00007937684966</v>
      </c>
      <c r="M632" s="2">
        <f t="shared" si="7"/>
        <v>0.09199776875</v>
      </c>
      <c r="N632" s="2">
        <f t="shared" si="8"/>
        <v>0.02067866698</v>
      </c>
      <c r="O632" s="2"/>
      <c r="P632" s="2"/>
      <c r="Q632" s="2"/>
      <c r="R632" s="4"/>
    </row>
    <row r="633" ht="14.25" customHeight="1">
      <c r="K633" s="2">
        <v>0.00631</v>
      </c>
      <c r="L633" s="2">
        <f t="shared" si="6"/>
        <v>0.00007962902961</v>
      </c>
      <c r="M633" s="2">
        <f t="shared" si="7"/>
        <v>0.09229004532</v>
      </c>
      <c r="N633" s="2">
        <f t="shared" si="8"/>
        <v>0.02071702854</v>
      </c>
      <c r="O633" s="2"/>
      <c r="P633" s="2"/>
      <c r="Q633" s="2"/>
      <c r="R633" s="4"/>
    </row>
    <row r="634" ht="14.25" customHeight="1">
      <c r="K634" s="2">
        <v>0.00632</v>
      </c>
      <c r="L634" s="2">
        <f t="shared" si="6"/>
        <v>0.00007988160946</v>
      </c>
      <c r="M634" s="2">
        <f t="shared" si="7"/>
        <v>0.09258278537</v>
      </c>
      <c r="N634" s="2">
        <f t="shared" si="8"/>
        <v>0.02075541643</v>
      </c>
      <c r="O634" s="2"/>
      <c r="P634" s="2"/>
      <c r="Q634" s="2"/>
      <c r="R634" s="4"/>
    </row>
    <row r="635" ht="14.25" customHeight="1">
      <c r="K635" s="2">
        <v>0.00633</v>
      </c>
      <c r="L635" s="2">
        <f t="shared" si="6"/>
        <v>0.00008013458922</v>
      </c>
      <c r="M635" s="2">
        <f t="shared" si="7"/>
        <v>0.09287598891</v>
      </c>
      <c r="N635" s="2">
        <f t="shared" si="8"/>
        <v>0.02079383072</v>
      </c>
      <c r="O635" s="2"/>
      <c r="P635" s="2"/>
      <c r="Q635" s="2"/>
      <c r="R635" s="4"/>
    </row>
    <row r="636" ht="14.25" customHeight="1">
      <c r="K636" s="2">
        <v>0.00634</v>
      </c>
      <c r="L636" s="2">
        <f t="shared" si="6"/>
        <v>0.00008038796889</v>
      </c>
      <c r="M636" s="2">
        <f t="shared" si="7"/>
        <v>0.09316965594</v>
      </c>
      <c r="N636" s="2">
        <f t="shared" si="8"/>
        <v>0.02083227144</v>
      </c>
      <c r="O636" s="2"/>
      <c r="P636" s="2"/>
      <c r="Q636" s="2"/>
      <c r="R636" s="4"/>
    </row>
    <row r="637" ht="14.25" customHeight="1">
      <c r="K637" s="2">
        <v>0.00635</v>
      </c>
      <c r="L637" s="2">
        <f t="shared" si="6"/>
        <v>0.00008064174845</v>
      </c>
      <c r="M637" s="2">
        <f t="shared" si="7"/>
        <v>0.09346378646</v>
      </c>
      <c r="N637" s="2">
        <f t="shared" si="8"/>
        <v>0.02087073863</v>
      </c>
      <c r="O637" s="2"/>
      <c r="P637" s="2"/>
      <c r="Q637" s="2"/>
      <c r="R637" s="4"/>
    </row>
    <row r="638" ht="14.25" customHeight="1">
      <c r="K638" s="2">
        <v>0.00636</v>
      </c>
      <c r="L638" s="2">
        <f t="shared" si="6"/>
        <v>0.00008089592792</v>
      </c>
      <c r="M638" s="2">
        <f t="shared" si="7"/>
        <v>0.09375838046</v>
      </c>
      <c r="N638" s="2">
        <f t="shared" si="8"/>
        <v>0.02090923234</v>
      </c>
      <c r="O638" s="2"/>
      <c r="P638" s="2"/>
      <c r="Q638" s="2"/>
      <c r="R638" s="4"/>
    </row>
    <row r="639" ht="14.25" customHeight="1">
      <c r="K639" s="2">
        <v>0.00637</v>
      </c>
      <c r="L639" s="2">
        <f t="shared" si="6"/>
        <v>0.0000811505073</v>
      </c>
      <c r="M639" s="2">
        <f t="shared" si="7"/>
        <v>0.09405343796</v>
      </c>
      <c r="N639" s="2">
        <f t="shared" si="8"/>
        <v>0.0209477526</v>
      </c>
      <c r="O639" s="2"/>
      <c r="P639" s="2"/>
      <c r="Q639" s="2"/>
      <c r="R639" s="4"/>
    </row>
    <row r="640" ht="14.25" customHeight="1">
      <c r="K640" s="2">
        <v>0.00638</v>
      </c>
      <c r="L640" s="2">
        <f t="shared" si="6"/>
        <v>0.00008140548657</v>
      </c>
      <c r="M640" s="2">
        <f t="shared" si="7"/>
        <v>0.09434895894</v>
      </c>
      <c r="N640" s="2">
        <f t="shared" si="8"/>
        <v>0.02098629946</v>
      </c>
      <c r="O640" s="2"/>
      <c r="P640" s="2"/>
      <c r="Q640" s="2"/>
      <c r="R640" s="4"/>
    </row>
    <row r="641" ht="14.25" customHeight="1">
      <c r="K641" s="2">
        <v>0.00639</v>
      </c>
      <c r="L641" s="2">
        <f t="shared" si="6"/>
        <v>0.00008166086575</v>
      </c>
      <c r="M641" s="2">
        <f t="shared" si="7"/>
        <v>0.09464494341</v>
      </c>
      <c r="N641" s="2">
        <f t="shared" si="8"/>
        <v>0.02102487296</v>
      </c>
      <c r="O641" s="2"/>
      <c r="P641" s="2"/>
      <c r="Q641" s="2"/>
      <c r="R641" s="4"/>
    </row>
    <row r="642" ht="14.25" customHeight="1">
      <c r="K642" s="2">
        <v>0.0064</v>
      </c>
      <c r="L642" s="2">
        <f t="shared" si="6"/>
        <v>0.00008191664483</v>
      </c>
      <c r="M642" s="2">
        <f t="shared" si="7"/>
        <v>0.09494139136</v>
      </c>
      <c r="N642" s="2">
        <f t="shared" si="8"/>
        <v>0.02106347314</v>
      </c>
      <c r="O642" s="2"/>
      <c r="P642" s="2"/>
      <c r="Q642" s="2"/>
      <c r="R642" s="4"/>
    </row>
    <row r="643" ht="14.25" customHeight="1">
      <c r="K643" s="2">
        <v>0.00641</v>
      </c>
      <c r="L643" s="2">
        <f t="shared" si="6"/>
        <v>0.00008217282381</v>
      </c>
      <c r="M643" s="2">
        <f t="shared" si="7"/>
        <v>0.0952383028</v>
      </c>
      <c r="N643" s="2">
        <f t="shared" si="8"/>
        <v>0.02110210005</v>
      </c>
      <c r="O643" s="2"/>
      <c r="P643" s="2"/>
      <c r="Q643" s="2"/>
      <c r="R643" s="4"/>
    </row>
    <row r="644" ht="14.25" customHeight="1">
      <c r="K644" s="2">
        <v>0.00642</v>
      </c>
      <c r="L644" s="2">
        <f t="shared" si="6"/>
        <v>0.0000824294027</v>
      </c>
      <c r="M644" s="2">
        <f t="shared" si="7"/>
        <v>0.09553567773</v>
      </c>
      <c r="N644" s="2">
        <f t="shared" si="8"/>
        <v>0.02114075372</v>
      </c>
      <c r="O644" s="2"/>
      <c r="P644" s="2"/>
      <c r="Q644" s="2"/>
      <c r="R644" s="4"/>
    </row>
    <row r="645" ht="14.25" customHeight="1">
      <c r="K645" s="2">
        <v>0.00643</v>
      </c>
      <c r="L645" s="2">
        <f t="shared" si="6"/>
        <v>0.00008268638148</v>
      </c>
      <c r="M645" s="2">
        <f t="shared" si="7"/>
        <v>0.09583351614</v>
      </c>
      <c r="N645" s="2">
        <f t="shared" si="8"/>
        <v>0.02117943419</v>
      </c>
      <c r="O645" s="2"/>
      <c r="P645" s="2"/>
      <c r="Q645" s="2"/>
      <c r="R645" s="4"/>
    </row>
    <row r="646" ht="14.25" customHeight="1">
      <c r="K646" s="2">
        <v>0.00644</v>
      </c>
      <c r="L646" s="2">
        <f t="shared" si="6"/>
        <v>0.00008294376017</v>
      </c>
      <c r="M646" s="2">
        <f t="shared" si="7"/>
        <v>0.09613181803</v>
      </c>
      <c r="N646" s="2">
        <f t="shared" si="8"/>
        <v>0.02121814152</v>
      </c>
      <c r="O646" s="2"/>
      <c r="P646" s="2"/>
      <c r="Q646" s="2"/>
      <c r="R646" s="4"/>
    </row>
    <row r="647" ht="14.25" customHeight="1">
      <c r="K647" s="2">
        <v>0.00645</v>
      </c>
      <c r="L647" s="2">
        <f t="shared" si="6"/>
        <v>0.00008320153875</v>
      </c>
      <c r="M647" s="2">
        <f t="shared" si="7"/>
        <v>0.09643058341</v>
      </c>
      <c r="N647" s="2">
        <f t="shared" si="8"/>
        <v>0.02125687573</v>
      </c>
      <c r="O647" s="2"/>
      <c r="P647" s="2"/>
      <c r="Q647" s="2"/>
      <c r="R647" s="4"/>
    </row>
    <row r="648" ht="14.25" customHeight="1">
      <c r="K648" s="2">
        <v>0.00646</v>
      </c>
      <c r="L648" s="2">
        <f t="shared" si="6"/>
        <v>0.00008345971724</v>
      </c>
      <c r="M648" s="2">
        <f t="shared" si="7"/>
        <v>0.09672981228</v>
      </c>
      <c r="N648" s="2">
        <f t="shared" si="8"/>
        <v>0.02129563688</v>
      </c>
      <c r="O648" s="2"/>
      <c r="P648" s="2"/>
      <c r="Q648" s="2"/>
      <c r="R648" s="4"/>
    </row>
    <row r="649" ht="14.25" customHeight="1">
      <c r="K649" s="2">
        <v>0.00647</v>
      </c>
      <c r="L649" s="2">
        <f t="shared" si="6"/>
        <v>0.00008371829562</v>
      </c>
      <c r="M649" s="2">
        <f t="shared" si="7"/>
        <v>0.09702950463</v>
      </c>
      <c r="N649" s="2">
        <f t="shared" si="8"/>
        <v>0.021334425</v>
      </c>
      <c r="O649" s="2"/>
      <c r="P649" s="2"/>
      <c r="Q649" s="2"/>
      <c r="R649" s="4"/>
    </row>
    <row r="650" ht="14.25" customHeight="1">
      <c r="K650" s="2">
        <v>0.00648</v>
      </c>
      <c r="L650" s="2">
        <f t="shared" si="6"/>
        <v>0.00008397727391</v>
      </c>
      <c r="M650" s="2">
        <f t="shared" si="7"/>
        <v>0.09732966046</v>
      </c>
      <c r="N650" s="2">
        <f t="shared" si="8"/>
        <v>0.02137324013</v>
      </c>
      <c r="O650" s="2"/>
      <c r="P650" s="2"/>
      <c r="Q650" s="2"/>
      <c r="R650" s="4"/>
    </row>
    <row r="651" ht="14.25" customHeight="1">
      <c r="K651" s="2">
        <v>0.00649</v>
      </c>
      <c r="L651" s="2">
        <f t="shared" si="6"/>
        <v>0.00008423665209</v>
      </c>
      <c r="M651" s="2">
        <f t="shared" si="7"/>
        <v>0.09763027978</v>
      </c>
      <c r="N651" s="2">
        <f t="shared" si="8"/>
        <v>0.02141208232</v>
      </c>
      <c r="O651" s="2"/>
      <c r="P651" s="2"/>
      <c r="Q651" s="2"/>
      <c r="R651" s="4"/>
    </row>
    <row r="652" ht="14.25" customHeight="1">
      <c r="K652" s="2">
        <v>0.0065</v>
      </c>
      <c r="L652" s="2">
        <f t="shared" si="6"/>
        <v>0.00008449643018</v>
      </c>
      <c r="M652" s="2">
        <f t="shared" si="7"/>
        <v>0.09793136257</v>
      </c>
      <c r="N652" s="2">
        <f t="shared" si="8"/>
        <v>0.02145095161</v>
      </c>
      <c r="O652" s="2"/>
      <c r="P652" s="2"/>
      <c r="Q652" s="2"/>
      <c r="R652" s="4"/>
    </row>
    <row r="653" ht="14.25" customHeight="1">
      <c r="K653" s="2">
        <v>0.00651</v>
      </c>
      <c r="L653" s="2">
        <f t="shared" si="6"/>
        <v>0.00008475660816</v>
      </c>
      <c r="M653" s="2">
        <f t="shared" si="7"/>
        <v>0.09823290886</v>
      </c>
      <c r="N653" s="2">
        <f t="shared" si="8"/>
        <v>0.02148984804</v>
      </c>
      <c r="O653" s="2"/>
      <c r="P653" s="2"/>
      <c r="Q653" s="2"/>
      <c r="R653" s="4"/>
    </row>
    <row r="654" ht="14.25" customHeight="1">
      <c r="K654" s="2">
        <v>0.00652</v>
      </c>
      <c r="L654" s="2">
        <f t="shared" si="6"/>
        <v>0.00008501718604</v>
      </c>
      <c r="M654" s="2">
        <f t="shared" si="7"/>
        <v>0.09853491862</v>
      </c>
      <c r="N654" s="2">
        <f t="shared" si="8"/>
        <v>0.02152877165</v>
      </c>
      <c r="O654" s="2"/>
      <c r="P654" s="2"/>
      <c r="Q654" s="2"/>
      <c r="R654" s="4"/>
    </row>
    <row r="655" ht="14.25" customHeight="1">
      <c r="K655" s="2">
        <v>0.00653</v>
      </c>
      <c r="L655" s="2">
        <f t="shared" si="6"/>
        <v>0.00008527816382</v>
      </c>
      <c r="M655" s="2">
        <f t="shared" si="7"/>
        <v>0.09883739186</v>
      </c>
      <c r="N655" s="2">
        <f t="shared" si="8"/>
        <v>0.02156772249</v>
      </c>
      <c r="O655" s="2"/>
      <c r="P655" s="2"/>
      <c r="Q655" s="2"/>
      <c r="R655" s="4"/>
    </row>
    <row r="656" ht="14.25" customHeight="1">
      <c r="K656" s="2">
        <v>0.00654</v>
      </c>
      <c r="L656" s="2">
        <f t="shared" si="6"/>
        <v>0.00008553954149</v>
      </c>
      <c r="M656" s="2">
        <f t="shared" si="7"/>
        <v>0.09914032859</v>
      </c>
      <c r="N656" s="2">
        <f t="shared" si="8"/>
        <v>0.02160670059</v>
      </c>
      <c r="O656" s="2"/>
      <c r="P656" s="2"/>
      <c r="Q656" s="2"/>
      <c r="R656" s="4"/>
    </row>
    <row r="657" ht="14.25" customHeight="1">
      <c r="K657" s="2">
        <v>0.00655</v>
      </c>
      <c r="L657" s="2">
        <f t="shared" si="6"/>
        <v>0.00008580131907</v>
      </c>
      <c r="M657" s="2">
        <f t="shared" si="7"/>
        <v>0.0994437288</v>
      </c>
      <c r="N657" s="2">
        <f t="shared" si="8"/>
        <v>0.021645706</v>
      </c>
      <c r="O657" s="2"/>
      <c r="P657" s="2"/>
      <c r="Q657" s="2"/>
      <c r="R657" s="4"/>
    </row>
    <row r="658" ht="14.25" customHeight="1">
      <c r="K658" s="2">
        <v>0.00656</v>
      </c>
      <c r="L658" s="2">
        <f t="shared" si="6"/>
        <v>0.00008606349654</v>
      </c>
      <c r="M658" s="2">
        <f t="shared" si="7"/>
        <v>0.09974759249</v>
      </c>
      <c r="N658" s="2">
        <f t="shared" si="8"/>
        <v>0.02168473875</v>
      </c>
      <c r="O658" s="2"/>
      <c r="P658" s="2"/>
      <c r="Q658" s="2"/>
      <c r="R658" s="4"/>
    </row>
    <row r="659" ht="14.25" customHeight="1">
      <c r="K659" s="2">
        <v>0.00657</v>
      </c>
      <c r="L659" s="2">
        <f t="shared" si="6"/>
        <v>0.0000863260739</v>
      </c>
      <c r="M659" s="2">
        <f t="shared" si="7"/>
        <v>0.1000519197</v>
      </c>
      <c r="N659" s="2">
        <f t="shared" si="8"/>
        <v>0.0217237989</v>
      </c>
      <c r="O659" s="2"/>
      <c r="P659" s="2"/>
      <c r="Q659" s="2"/>
      <c r="R659" s="4"/>
    </row>
    <row r="660" ht="14.25" customHeight="1">
      <c r="K660" s="2">
        <v>0.00658</v>
      </c>
      <c r="L660" s="2">
        <f t="shared" si="6"/>
        <v>0.00008658905117</v>
      </c>
      <c r="M660" s="2">
        <f t="shared" si="7"/>
        <v>0.1003567103</v>
      </c>
      <c r="N660" s="2">
        <f t="shared" si="8"/>
        <v>0.02176288648</v>
      </c>
      <c r="O660" s="2"/>
      <c r="P660" s="2"/>
      <c r="Q660" s="2"/>
      <c r="R660" s="4"/>
    </row>
    <row r="661" ht="14.25" customHeight="1">
      <c r="K661" s="2">
        <v>0.00659</v>
      </c>
      <c r="L661" s="2">
        <f t="shared" si="6"/>
        <v>0.00008685242833</v>
      </c>
      <c r="M661" s="2">
        <f t="shared" si="7"/>
        <v>0.1006619644</v>
      </c>
      <c r="N661" s="2">
        <f t="shared" si="8"/>
        <v>0.02180200154</v>
      </c>
      <c r="O661" s="2"/>
      <c r="P661" s="2"/>
      <c r="Q661" s="2"/>
      <c r="R661" s="4"/>
    </row>
    <row r="662" ht="14.25" customHeight="1">
      <c r="K662" s="2">
        <v>0.0066</v>
      </c>
      <c r="L662" s="2">
        <f t="shared" si="6"/>
        <v>0.00008711620538</v>
      </c>
      <c r="M662" s="2">
        <f t="shared" si="7"/>
        <v>0.100967682</v>
      </c>
      <c r="N662" s="2">
        <f t="shared" si="8"/>
        <v>0.02184114411</v>
      </c>
      <c r="O662" s="2"/>
      <c r="P662" s="2"/>
      <c r="Q662" s="2"/>
      <c r="R662" s="4"/>
    </row>
    <row r="663" ht="14.25" customHeight="1">
      <c r="K663" s="2">
        <v>0.00661</v>
      </c>
      <c r="L663" s="2">
        <f t="shared" si="6"/>
        <v>0.00008738038233</v>
      </c>
      <c r="M663" s="2">
        <f t="shared" si="7"/>
        <v>0.1012738631</v>
      </c>
      <c r="N663" s="2">
        <f t="shared" si="8"/>
        <v>0.02188031423</v>
      </c>
      <c r="O663" s="2"/>
      <c r="P663" s="2"/>
      <c r="Q663" s="2"/>
      <c r="R663" s="4"/>
    </row>
    <row r="664" ht="14.25" customHeight="1">
      <c r="K664" s="2">
        <v>0.00662</v>
      </c>
      <c r="L664" s="2">
        <f t="shared" si="6"/>
        <v>0.00008764495918</v>
      </c>
      <c r="M664" s="2">
        <f t="shared" si="7"/>
        <v>0.1015805077</v>
      </c>
      <c r="N664" s="2">
        <f t="shared" si="8"/>
        <v>0.02191951196</v>
      </c>
      <c r="O664" s="2"/>
      <c r="P664" s="2"/>
      <c r="Q664" s="2"/>
      <c r="R664" s="4"/>
    </row>
    <row r="665" ht="14.25" customHeight="1">
      <c r="K665" s="2">
        <v>0.00663</v>
      </c>
      <c r="L665" s="2">
        <f t="shared" si="6"/>
        <v>0.00008790993592</v>
      </c>
      <c r="M665" s="2">
        <f t="shared" si="7"/>
        <v>0.1018876157</v>
      </c>
      <c r="N665" s="2">
        <f t="shared" si="8"/>
        <v>0.02195873733</v>
      </c>
      <c r="O665" s="2"/>
      <c r="P665" s="2"/>
      <c r="Q665" s="2"/>
      <c r="R665" s="4"/>
    </row>
    <row r="666" ht="14.25" customHeight="1">
      <c r="K666" s="2">
        <v>0.00664</v>
      </c>
      <c r="L666" s="2">
        <f t="shared" si="6"/>
        <v>0.00008817531256</v>
      </c>
      <c r="M666" s="2">
        <f t="shared" si="7"/>
        <v>0.1021951873</v>
      </c>
      <c r="N666" s="2">
        <f t="shared" si="8"/>
        <v>0.02199799038</v>
      </c>
      <c r="O666" s="2"/>
      <c r="P666" s="2"/>
      <c r="Q666" s="2"/>
      <c r="R666" s="4"/>
    </row>
    <row r="667" ht="14.25" customHeight="1">
      <c r="K667" s="2">
        <v>0.00665</v>
      </c>
      <c r="L667" s="2">
        <f t="shared" si="6"/>
        <v>0.00008844108909</v>
      </c>
      <c r="M667" s="2">
        <f t="shared" si="7"/>
        <v>0.1025032223</v>
      </c>
      <c r="N667" s="2">
        <f t="shared" si="8"/>
        <v>0.02203727115</v>
      </c>
      <c r="O667" s="2"/>
      <c r="P667" s="2"/>
      <c r="Q667" s="2"/>
      <c r="R667" s="4"/>
    </row>
    <row r="668" ht="14.25" customHeight="1">
      <c r="K668" s="2">
        <v>0.00666</v>
      </c>
      <c r="L668" s="2">
        <f t="shared" si="6"/>
        <v>0.00008870726551</v>
      </c>
      <c r="M668" s="2">
        <f t="shared" si="7"/>
        <v>0.1028117207</v>
      </c>
      <c r="N668" s="2">
        <f t="shared" si="8"/>
        <v>0.02207657969</v>
      </c>
      <c r="O668" s="2"/>
      <c r="P668" s="2"/>
      <c r="Q668" s="2"/>
      <c r="R668" s="4"/>
    </row>
    <row r="669" ht="14.25" customHeight="1">
      <c r="K669" s="2">
        <v>0.00667</v>
      </c>
      <c r="L669" s="2">
        <f t="shared" si="6"/>
        <v>0.00008897384183</v>
      </c>
      <c r="M669" s="2">
        <f t="shared" si="7"/>
        <v>0.1031206827</v>
      </c>
      <c r="N669" s="2">
        <f t="shared" si="8"/>
        <v>0.02211591604</v>
      </c>
      <c r="O669" s="2"/>
      <c r="P669" s="2"/>
      <c r="Q669" s="2"/>
      <c r="R669" s="4"/>
    </row>
    <row r="670" ht="14.25" customHeight="1">
      <c r="K670" s="2">
        <v>0.00668</v>
      </c>
      <c r="L670" s="2">
        <f t="shared" si="6"/>
        <v>0.00008924081804</v>
      </c>
      <c r="M670" s="2">
        <f t="shared" si="7"/>
        <v>0.1034301081</v>
      </c>
      <c r="N670" s="2">
        <f t="shared" si="8"/>
        <v>0.02215528024</v>
      </c>
      <c r="O670" s="2"/>
      <c r="P670" s="2"/>
      <c r="Q670" s="2"/>
      <c r="R670" s="4"/>
    </row>
    <row r="671" ht="14.25" customHeight="1">
      <c r="K671" s="2">
        <v>0.00669</v>
      </c>
      <c r="L671" s="2">
        <f t="shared" si="6"/>
        <v>0.00008950819414</v>
      </c>
      <c r="M671" s="2">
        <f t="shared" si="7"/>
        <v>0.103739997</v>
      </c>
      <c r="N671" s="2">
        <f t="shared" si="8"/>
        <v>0.02219467233</v>
      </c>
      <c r="O671" s="2"/>
      <c r="P671" s="2"/>
      <c r="Q671" s="2"/>
      <c r="R671" s="4"/>
    </row>
    <row r="672" ht="14.25" customHeight="1">
      <c r="K672" s="2">
        <v>0.0067</v>
      </c>
      <c r="L672" s="2">
        <f t="shared" si="6"/>
        <v>0.00008977597014</v>
      </c>
      <c r="M672" s="2">
        <f t="shared" si="7"/>
        <v>0.1040503494</v>
      </c>
      <c r="N672" s="2">
        <f t="shared" si="8"/>
        <v>0.02223409235</v>
      </c>
      <c r="O672" s="2"/>
      <c r="P672" s="2"/>
      <c r="Q672" s="2"/>
      <c r="R672" s="4"/>
    </row>
    <row r="673" ht="14.25" customHeight="1">
      <c r="K673" s="2">
        <v>0.00671</v>
      </c>
      <c r="L673" s="2">
        <f t="shared" si="6"/>
        <v>0.00009004414603</v>
      </c>
      <c r="M673" s="2">
        <f t="shared" si="7"/>
        <v>0.1043611652</v>
      </c>
      <c r="N673" s="2">
        <f t="shared" si="8"/>
        <v>0.02227354034</v>
      </c>
      <c r="O673" s="2"/>
      <c r="P673" s="2"/>
      <c r="Q673" s="2"/>
      <c r="R673" s="4"/>
    </row>
    <row r="674" ht="14.25" customHeight="1">
      <c r="K674" s="2">
        <v>0.00672</v>
      </c>
      <c r="L674" s="2">
        <f t="shared" si="6"/>
        <v>0.00009031272181</v>
      </c>
      <c r="M674" s="2">
        <f t="shared" si="7"/>
        <v>0.1046724446</v>
      </c>
      <c r="N674" s="2">
        <f t="shared" si="8"/>
        <v>0.02231301636</v>
      </c>
      <c r="O674" s="2"/>
      <c r="P674" s="2"/>
      <c r="Q674" s="2"/>
      <c r="R674" s="4"/>
    </row>
    <row r="675" ht="14.25" customHeight="1">
      <c r="K675" s="2">
        <v>0.00673</v>
      </c>
      <c r="L675" s="2">
        <f t="shared" si="6"/>
        <v>0.00009058169748</v>
      </c>
      <c r="M675" s="2">
        <f t="shared" si="7"/>
        <v>0.1049841874</v>
      </c>
      <c r="N675" s="2">
        <f t="shared" si="8"/>
        <v>0.02235252043</v>
      </c>
      <c r="O675" s="2"/>
      <c r="P675" s="2"/>
      <c r="Q675" s="2"/>
      <c r="R675" s="4"/>
    </row>
    <row r="676" ht="14.25" customHeight="1">
      <c r="K676" s="2">
        <v>0.00674</v>
      </c>
      <c r="L676" s="2">
        <f t="shared" si="6"/>
        <v>0.00009085107304</v>
      </c>
      <c r="M676" s="2">
        <f t="shared" si="7"/>
        <v>0.1052963937</v>
      </c>
      <c r="N676" s="2">
        <f t="shared" si="8"/>
        <v>0.0223920526</v>
      </c>
      <c r="O676" s="2"/>
      <c r="P676" s="2"/>
      <c r="Q676" s="2"/>
      <c r="R676" s="4"/>
    </row>
    <row r="677" ht="14.25" customHeight="1">
      <c r="K677" s="2">
        <v>0.00675</v>
      </c>
      <c r="L677" s="2">
        <f t="shared" si="6"/>
        <v>0.0000911208485</v>
      </c>
      <c r="M677" s="2">
        <f t="shared" si="7"/>
        <v>0.1056090634</v>
      </c>
      <c r="N677" s="2">
        <f t="shared" si="8"/>
        <v>0.02243161291</v>
      </c>
      <c r="O677" s="2"/>
      <c r="P677" s="2"/>
      <c r="Q677" s="2"/>
      <c r="R677" s="4"/>
    </row>
    <row r="678" ht="14.25" customHeight="1">
      <c r="K678" s="2">
        <v>0.00676</v>
      </c>
      <c r="L678" s="2">
        <f t="shared" si="6"/>
        <v>0.00009139102384</v>
      </c>
      <c r="M678" s="2">
        <f t="shared" si="7"/>
        <v>0.1059221966</v>
      </c>
      <c r="N678" s="2">
        <f t="shared" si="8"/>
        <v>0.02247120141</v>
      </c>
      <c r="O678" s="2"/>
      <c r="P678" s="2"/>
      <c r="Q678" s="2"/>
      <c r="R678" s="4"/>
    </row>
    <row r="679" ht="14.25" customHeight="1">
      <c r="K679" s="2">
        <v>0.00677</v>
      </c>
      <c r="L679" s="2">
        <f t="shared" si="6"/>
        <v>0.00009166159908</v>
      </c>
      <c r="M679" s="2">
        <f t="shared" si="7"/>
        <v>0.1062357933</v>
      </c>
      <c r="N679" s="2">
        <f t="shared" si="8"/>
        <v>0.02251081813</v>
      </c>
      <c r="O679" s="2"/>
      <c r="P679" s="2"/>
      <c r="Q679" s="2"/>
      <c r="R679" s="4"/>
    </row>
    <row r="680" ht="14.25" customHeight="1">
      <c r="K680" s="2">
        <v>0.00678</v>
      </c>
      <c r="L680" s="2">
        <f t="shared" si="6"/>
        <v>0.0000919325742</v>
      </c>
      <c r="M680" s="2">
        <f t="shared" si="7"/>
        <v>0.1065498535</v>
      </c>
      <c r="N680" s="2">
        <f t="shared" si="8"/>
        <v>0.02255046311</v>
      </c>
      <c r="O680" s="2"/>
      <c r="P680" s="2"/>
      <c r="Q680" s="2"/>
      <c r="R680" s="4"/>
    </row>
    <row r="681" ht="14.25" customHeight="1">
      <c r="K681" s="2">
        <v>0.00679</v>
      </c>
      <c r="L681" s="2">
        <f t="shared" si="6"/>
        <v>0.00009220394922</v>
      </c>
      <c r="M681" s="2">
        <f t="shared" si="7"/>
        <v>0.1068643771</v>
      </c>
      <c r="N681" s="2">
        <f t="shared" si="8"/>
        <v>0.02259013641</v>
      </c>
      <c r="O681" s="2"/>
      <c r="P681" s="2"/>
      <c r="Q681" s="2"/>
      <c r="R681" s="4"/>
    </row>
    <row r="682" ht="14.25" customHeight="1">
      <c r="K682" s="2">
        <v>0.0068</v>
      </c>
      <c r="L682" s="2">
        <f t="shared" si="6"/>
        <v>0.00009247572412</v>
      </c>
      <c r="M682" s="2">
        <f t="shared" si="7"/>
        <v>0.1071793643</v>
      </c>
      <c r="N682" s="2">
        <f t="shared" si="8"/>
        <v>0.02262983805</v>
      </c>
      <c r="O682" s="2"/>
      <c r="P682" s="2"/>
      <c r="Q682" s="2"/>
      <c r="R682" s="4"/>
    </row>
    <row r="683" ht="14.25" customHeight="1">
      <c r="K683" s="2">
        <v>0.00681</v>
      </c>
      <c r="L683" s="2">
        <f t="shared" si="6"/>
        <v>0.00009274789891</v>
      </c>
      <c r="M683" s="2">
        <f t="shared" si="7"/>
        <v>0.1074948148</v>
      </c>
      <c r="N683" s="2">
        <f t="shared" si="8"/>
        <v>0.02266956809</v>
      </c>
      <c r="O683" s="2"/>
      <c r="P683" s="2"/>
      <c r="Q683" s="2"/>
      <c r="R683" s="4"/>
    </row>
    <row r="684" ht="14.25" customHeight="1">
      <c r="K684" s="2">
        <v>0.00682</v>
      </c>
      <c r="L684" s="2">
        <f t="shared" si="6"/>
        <v>0.0000930204736</v>
      </c>
      <c r="M684" s="2">
        <f t="shared" si="7"/>
        <v>0.1078107289</v>
      </c>
      <c r="N684" s="2">
        <f t="shared" si="8"/>
        <v>0.02270932656</v>
      </c>
      <c r="O684" s="2"/>
      <c r="P684" s="2"/>
      <c r="Q684" s="2"/>
      <c r="R684" s="4"/>
    </row>
    <row r="685" ht="14.25" customHeight="1">
      <c r="K685" s="2">
        <v>0.00683</v>
      </c>
      <c r="L685" s="2">
        <f t="shared" si="6"/>
        <v>0.00009329344817</v>
      </c>
      <c r="M685" s="2">
        <f t="shared" si="7"/>
        <v>0.1081271064</v>
      </c>
      <c r="N685" s="2">
        <f t="shared" si="8"/>
        <v>0.02274911351</v>
      </c>
      <c r="O685" s="2"/>
      <c r="P685" s="2"/>
      <c r="Q685" s="2"/>
      <c r="R685" s="4"/>
    </row>
    <row r="686" ht="14.25" customHeight="1">
      <c r="K686" s="2">
        <v>0.00684</v>
      </c>
      <c r="L686" s="2">
        <f t="shared" si="6"/>
        <v>0.00009356682262</v>
      </c>
      <c r="M686" s="2">
        <f t="shared" si="7"/>
        <v>0.1084439474</v>
      </c>
      <c r="N686" s="2">
        <f t="shared" si="8"/>
        <v>0.02278892897</v>
      </c>
      <c r="O686" s="2"/>
      <c r="P686" s="2"/>
      <c r="Q686" s="2"/>
      <c r="R686" s="4"/>
    </row>
    <row r="687" ht="14.25" customHeight="1">
      <c r="K687" s="2">
        <v>0.00685</v>
      </c>
      <c r="L687" s="2">
        <f t="shared" si="6"/>
        <v>0.00009384059697</v>
      </c>
      <c r="M687" s="2">
        <f t="shared" si="7"/>
        <v>0.1087612519</v>
      </c>
      <c r="N687" s="2">
        <f t="shared" si="8"/>
        <v>0.02282877299</v>
      </c>
      <c r="O687" s="2"/>
      <c r="P687" s="2"/>
      <c r="Q687" s="2"/>
      <c r="R687" s="4"/>
    </row>
    <row r="688" ht="14.25" customHeight="1">
      <c r="K688" s="2">
        <v>0.00686</v>
      </c>
      <c r="L688" s="2">
        <f t="shared" si="6"/>
        <v>0.00009411477121</v>
      </c>
      <c r="M688" s="2">
        <f t="shared" si="7"/>
        <v>0.1090790198</v>
      </c>
      <c r="N688" s="2">
        <f t="shared" si="8"/>
        <v>0.02286864561</v>
      </c>
      <c r="O688" s="2"/>
      <c r="P688" s="2"/>
      <c r="Q688" s="2"/>
      <c r="R688" s="4"/>
    </row>
    <row r="689" ht="14.25" customHeight="1">
      <c r="K689" s="2">
        <v>0.00687</v>
      </c>
      <c r="L689" s="2">
        <f t="shared" si="6"/>
        <v>0.00009438934533</v>
      </c>
      <c r="M689" s="2">
        <f t="shared" si="7"/>
        <v>0.1093972512</v>
      </c>
      <c r="N689" s="2">
        <f t="shared" si="8"/>
        <v>0.02290854687</v>
      </c>
      <c r="O689" s="2"/>
      <c r="P689" s="2"/>
      <c r="Q689" s="2"/>
      <c r="R689" s="4"/>
    </row>
    <row r="690" ht="14.25" customHeight="1">
      <c r="K690" s="2">
        <v>0.00688</v>
      </c>
      <c r="L690" s="2">
        <f t="shared" si="6"/>
        <v>0.00009466431933</v>
      </c>
      <c r="M690" s="2">
        <f t="shared" si="7"/>
        <v>0.1097159461</v>
      </c>
      <c r="N690" s="2">
        <f t="shared" si="8"/>
        <v>0.02294847682</v>
      </c>
      <c r="O690" s="2"/>
      <c r="P690" s="2"/>
      <c r="Q690" s="2"/>
      <c r="R690" s="4"/>
    </row>
    <row r="691" ht="14.25" customHeight="1">
      <c r="K691" s="2">
        <v>0.00689</v>
      </c>
      <c r="L691" s="2">
        <f t="shared" si="6"/>
        <v>0.00009493969323</v>
      </c>
      <c r="M691" s="2">
        <f t="shared" si="7"/>
        <v>0.1100351045</v>
      </c>
      <c r="N691" s="2">
        <f t="shared" si="8"/>
        <v>0.0229884355</v>
      </c>
      <c r="O691" s="2"/>
      <c r="P691" s="2"/>
      <c r="Q691" s="2"/>
      <c r="R691" s="4"/>
    </row>
    <row r="692" ht="14.25" customHeight="1">
      <c r="K692" s="2">
        <v>0.0069</v>
      </c>
      <c r="L692" s="2">
        <f t="shared" si="6"/>
        <v>0.00009521546701</v>
      </c>
      <c r="M692" s="2">
        <f t="shared" si="7"/>
        <v>0.1103547263</v>
      </c>
      <c r="N692" s="2">
        <f t="shared" si="8"/>
        <v>0.02302842294</v>
      </c>
      <c r="O692" s="2"/>
      <c r="P692" s="2"/>
      <c r="Q692" s="2"/>
      <c r="R692" s="4"/>
    </row>
    <row r="693" ht="14.25" customHeight="1">
      <c r="K693" s="2">
        <v>0.00691</v>
      </c>
      <c r="L693" s="2">
        <f t="shared" si="6"/>
        <v>0.00009549164067</v>
      </c>
      <c r="M693" s="2">
        <f t="shared" si="7"/>
        <v>0.1106748115</v>
      </c>
      <c r="N693" s="2">
        <f t="shared" si="8"/>
        <v>0.02306843918</v>
      </c>
      <c r="O693" s="2"/>
      <c r="P693" s="2"/>
      <c r="Q693" s="2"/>
      <c r="R693" s="4"/>
    </row>
    <row r="694" ht="14.25" customHeight="1">
      <c r="K694" s="2">
        <v>0.00692</v>
      </c>
      <c r="L694" s="2">
        <f t="shared" si="6"/>
        <v>0.00009576821422</v>
      </c>
      <c r="M694" s="2">
        <f t="shared" si="7"/>
        <v>0.1109953603</v>
      </c>
      <c r="N694" s="2">
        <f t="shared" si="8"/>
        <v>0.02310848428</v>
      </c>
      <c r="O694" s="2"/>
      <c r="P694" s="2"/>
      <c r="Q694" s="2"/>
      <c r="R694" s="4"/>
    </row>
    <row r="695" ht="14.25" customHeight="1">
      <c r="K695" s="2">
        <v>0.00693</v>
      </c>
      <c r="L695" s="2">
        <f t="shared" si="6"/>
        <v>0.00009604518766</v>
      </c>
      <c r="M695" s="2">
        <f t="shared" si="7"/>
        <v>0.1113163725</v>
      </c>
      <c r="N695" s="2">
        <f t="shared" si="8"/>
        <v>0.02314855828</v>
      </c>
      <c r="O695" s="2"/>
      <c r="P695" s="2"/>
      <c r="Q695" s="2"/>
      <c r="R695" s="4"/>
    </row>
    <row r="696" ht="14.25" customHeight="1">
      <c r="K696" s="2">
        <v>0.00694</v>
      </c>
      <c r="L696" s="2">
        <f t="shared" si="6"/>
        <v>0.00009632256098</v>
      </c>
      <c r="M696" s="2">
        <f t="shared" si="7"/>
        <v>0.1116378482</v>
      </c>
      <c r="N696" s="2">
        <f t="shared" si="8"/>
        <v>0.0231886612</v>
      </c>
      <c r="O696" s="2"/>
      <c r="P696" s="2"/>
      <c r="Q696" s="2"/>
      <c r="R696" s="4"/>
    </row>
    <row r="697" ht="14.25" customHeight="1">
      <c r="K697" s="2">
        <v>0.00695</v>
      </c>
      <c r="L697" s="2">
        <f t="shared" si="6"/>
        <v>0.00009660033419</v>
      </c>
      <c r="M697" s="2">
        <f t="shared" si="7"/>
        <v>0.1119597873</v>
      </c>
      <c r="N697" s="2">
        <f t="shared" si="8"/>
        <v>0.0232287931</v>
      </c>
      <c r="O697" s="2"/>
      <c r="P697" s="2"/>
      <c r="Q697" s="2"/>
      <c r="R697" s="4"/>
    </row>
    <row r="698" ht="14.25" customHeight="1">
      <c r="K698" s="2">
        <v>0.00696</v>
      </c>
      <c r="L698" s="2">
        <f t="shared" si="6"/>
        <v>0.00009687850728</v>
      </c>
      <c r="M698" s="2">
        <f t="shared" si="7"/>
        <v>0.1122821899</v>
      </c>
      <c r="N698" s="2">
        <f t="shared" si="8"/>
        <v>0.02326895402</v>
      </c>
      <c r="O698" s="2"/>
      <c r="P698" s="2"/>
      <c r="Q698" s="2"/>
      <c r="R698" s="4"/>
    </row>
    <row r="699" ht="14.25" customHeight="1">
      <c r="K699" s="2">
        <v>0.00697</v>
      </c>
      <c r="L699" s="2">
        <f t="shared" si="6"/>
        <v>0.00009715708025</v>
      </c>
      <c r="M699" s="2">
        <f t="shared" si="7"/>
        <v>0.112605056</v>
      </c>
      <c r="N699" s="2">
        <f t="shared" si="8"/>
        <v>0.023309144</v>
      </c>
      <c r="O699" s="2"/>
      <c r="P699" s="2"/>
      <c r="Q699" s="2"/>
      <c r="R699" s="4"/>
    </row>
    <row r="700" ht="14.25" customHeight="1">
      <c r="K700" s="2">
        <v>0.00698</v>
      </c>
      <c r="L700" s="2">
        <f t="shared" si="6"/>
        <v>0.00009743605311</v>
      </c>
      <c r="M700" s="2">
        <f t="shared" si="7"/>
        <v>0.1129283856</v>
      </c>
      <c r="N700" s="2">
        <f t="shared" si="8"/>
        <v>0.02334936308</v>
      </c>
      <c r="O700" s="2"/>
      <c r="P700" s="2"/>
      <c r="Q700" s="2"/>
      <c r="R700" s="4"/>
    </row>
    <row r="701" ht="14.25" customHeight="1">
      <c r="K701" s="2">
        <v>0.00699</v>
      </c>
      <c r="L701" s="2">
        <f t="shared" si="6"/>
        <v>0.00009771542585</v>
      </c>
      <c r="M701" s="2">
        <f t="shared" si="7"/>
        <v>0.1132521786</v>
      </c>
      <c r="N701" s="2">
        <f t="shared" si="8"/>
        <v>0.0233896113</v>
      </c>
      <c r="O701" s="2"/>
      <c r="P701" s="2"/>
      <c r="Q701" s="2"/>
      <c r="R701" s="4"/>
    </row>
    <row r="702" ht="14.25" customHeight="1">
      <c r="K702" s="2">
        <v>0.007</v>
      </c>
      <c r="L702" s="2">
        <f t="shared" si="6"/>
        <v>0.00009799519847</v>
      </c>
      <c r="M702" s="2">
        <f t="shared" si="7"/>
        <v>0.113576435</v>
      </c>
      <c r="N702" s="2">
        <f t="shared" si="8"/>
        <v>0.02342988871</v>
      </c>
      <c r="O702" s="2"/>
      <c r="P702" s="2"/>
      <c r="Q702" s="2"/>
      <c r="R702" s="4"/>
    </row>
    <row r="703" ht="14.25" customHeight="1">
      <c r="K703" s="2">
        <v>0.00701</v>
      </c>
      <c r="L703" s="2">
        <f t="shared" si="6"/>
        <v>0.00009827537098</v>
      </c>
      <c r="M703" s="2">
        <f t="shared" si="7"/>
        <v>0.113901155</v>
      </c>
      <c r="N703" s="2">
        <f t="shared" si="8"/>
        <v>0.02347019534</v>
      </c>
      <c r="O703" s="2"/>
      <c r="P703" s="2"/>
      <c r="Q703" s="2"/>
      <c r="R703" s="4"/>
    </row>
    <row r="704" ht="14.25" customHeight="1">
      <c r="K704" s="2">
        <v>0.00702</v>
      </c>
      <c r="L704" s="2">
        <f t="shared" si="6"/>
        <v>0.00009855594336</v>
      </c>
      <c r="M704" s="2">
        <f t="shared" si="7"/>
        <v>0.1142263384</v>
      </c>
      <c r="N704" s="2">
        <f t="shared" si="8"/>
        <v>0.02351053124</v>
      </c>
      <c r="O704" s="2"/>
      <c r="P704" s="2"/>
      <c r="Q704" s="2"/>
      <c r="R704" s="4"/>
    </row>
    <row r="705" ht="14.25" customHeight="1">
      <c r="K705" s="2">
        <v>0.00703</v>
      </c>
      <c r="L705" s="2">
        <f t="shared" si="6"/>
        <v>0.00009883691563</v>
      </c>
      <c r="M705" s="2">
        <f t="shared" si="7"/>
        <v>0.1145519852</v>
      </c>
      <c r="N705" s="2">
        <f t="shared" si="8"/>
        <v>0.02355089645</v>
      </c>
      <c r="O705" s="2"/>
      <c r="P705" s="2"/>
      <c r="Q705" s="2"/>
      <c r="R705" s="4"/>
    </row>
    <row r="706" ht="14.25" customHeight="1">
      <c r="K706" s="2">
        <v>0.00704</v>
      </c>
      <c r="L706" s="2">
        <f t="shared" si="6"/>
        <v>0.00009911828778</v>
      </c>
      <c r="M706" s="2">
        <f t="shared" si="7"/>
        <v>0.1148780955</v>
      </c>
      <c r="N706" s="2">
        <f t="shared" si="8"/>
        <v>0.02359129101</v>
      </c>
      <c r="O706" s="2"/>
      <c r="P706" s="2"/>
      <c r="Q706" s="2"/>
      <c r="R706" s="4"/>
    </row>
    <row r="707" ht="14.25" customHeight="1">
      <c r="K707" s="2">
        <v>0.00705</v>
      </c>
      <c r="L707" s="2">
        <f t="shared" si="6"/>
        <v>0.00009940005981</v>
      </c>
      <c r="M707" s="2">
        <f t="shared" si="7"/>
        <v>0.1152046693</v>
      </c>
      <c r="N707" s="2">
        <f t="shared" si="8"/>
        <v>0.02363171497</v>
      </c>
      <c r="O707" s="2"/>
      <c r="P707" s="2"/>
      <c r="Q707" s="2"/>
      <c r="R707" s="4"/>
    </row>
    <row r="708" ht="14.25" customHeight="1">
      <c r="K708" s="2">
        <v>0.00706</v>
      </c>
      <c r="L708" s="2">
        <f t="shared" si="6"/>
        <v>0.00009968223173</v>
      </c>
      <c r="M708" s="2">
        <f t="shared" si="7"/>
        <v>0.1155317066</v>
      </c>
      <c r="N708" s="2">
        <f t="shared" si="8"/>
        <v>0.02367216835</v>
      </c>
      <c r="O708" s="2"/>
      <c r="P708" s="2"/>
      <c r="Q708" s="2"/>
      <c r="R708" s="4"/>
    </row>
    <row r="709" ht="14.25" customHeight="1">
      <c r="K709" s="2">
        <v>0.00707</v>
      </c>
      <c r="L709" s="2">
        <f t="shared" si="6"/>
        <v>0.00009996480352</v>
      </c>
      <c r="M709" s="2">
        <f t="shared" si="7"/>
        <v>0.1158592073</v>
      </c>
      <c r="N709" s="2">
        <f t="shared" si="8"/>
        <v>0.02371265122</v>
      </c>
      <c r="O709" s="2"/>
      <c r="P709" s="2"/>
      <c r="Q709" s="2"/>
      <c r="R709" s="4"/>
    </row>
    <row r="710" ht="14.25" customHeight="1">
      <c r="K710" s="2">
        <v>0.00708</v>
      </c>
      <c r="L710" s="2">
        <f t="shared" si="6"/>
        <v>0.0001002477752</v>
      </c>
      <c r="M710" s="2">
        <f t="shared" si="7"/>
        <v>0.1161871714</v>
      </c>
      <c r="N710" s="2">
        <f t="shared" si="8"/>
        <v>0.0237531636</v>
      </c>
      <c r="O710" s="2"/>
      <c r="P710" s="2"/>
      <c r="Q710" s="2"/>
      <c r="R710" s="4"/>
    </row>
    <row r="711" ht="14.25" customHeight="1">
      <c r="K711" s="2">
        <v>0.00709</v>
      </c>
      <c r="L711" s="2">
        <f t="shared" si="6"/>
        <v>0.0001005311467</v>
      </c>
      <c r="M711" s="2">
        <f t="shared" si="7"/>
        <v>0.1165155991</v>
      </c>
      <c r="N711" s="2">
        <f t="shared" si="8"/>
        <v>0.02379370554</v>
      </c>
      <c r="O711" s="2"/>
      <c r="P711" s="2"/>
      <c r="Q711" s="2"/>
      <c r="R711" s="4"/>
    </row>
    <row r="712" ht="14.25" customHeight="1">
      <c r="K712" s="2">
        <v>0.0071</v>
      </c>
      <c r="L712" s="2">
        <f t="shared" si="6"/>
        <v>0.0001008149182</v>
      </c>
      <c r="M712" s="2">
        <f t="shared" si="7"/>
        <v>0.1168444902</v>
      </c>
      <c r="N712" s="2">
        <f t="shared" si="8"/>
        <v>0.02383427709</v>
      </c>
      <c r="O712" s="2"/>
      <c r="P712" s="2"/>
      <c r="Q712" s="2"/>
      <c r="R712" s="4"/>
    </row>
    <row r="713" ht="14.25" customHeight="1">
      <c r="K713" s="2">
        <v>0.00711</v>
      </c>
      <c r="L713" s="2">
        <f t="shared" si="6"/>
        <v>0.0001010990895</v>
      </c>
      <c r="M713" s="2">
        <f t="shared" si="7"/>
        <v>0.1171738447</v>
      </c>
      <c r="N713" s="2">
        <f t="shared" si="8"/>
        <v>0.02387487827</v>
      </c>
      <c r="O713" s="2"/>
      <c r="P713" s="2"/>
      <c r="Q713" s="2"/>
      <c r="R713" s="4"/>
    </row>
    <row r="714" ht="14.25" customHeight="1">
      <c r="K714" s="2">
        <v>0.00712</v>
      </c>
      <c r="L714" s="2">
        <f t="shared" si="6"/>
        <v>0.0001013836607</v>
      </c>
      <c r="M714" s="2">
        <f t="shared" si="7"/>
        <v>0.1175036627</v>
      </c>
      <c r="N714" s="2">
        <f t="shared" si="8"/>
        <v>0.02391550914</v>
      </c>
      <c r="O714" s="2"/>
      <c r="P714" s="2"/>
      <c r="Q714" s="2"/>
      <c r="R714" s="4"/>
    </row>
    <row r="715" ht="14.25" customHeight="1">
      <c r="K715" s="2">
        <v>0.00713</v>
      </c>
      <c r="L715" s="2">
        <f t="shared" si="6"/>
        <v>0.0001016686317</v>
      </c>
      <c r="M715" s="2">
        <f t="shared" si="7"/>
        <v>0.1178339442</v>
      </c>
      <c r="N715" s="2">
        <f t="shared" si="8"/>
        <v>0.02395616974</v>
      </c>
      <c r="O715" s="2"/>
      <c r="P715" s="2"/>
      <c r="Q715" s="2"/>
      <c r="R715" s="4"/>
    </row>
    <row r="716" ht="14.25" customHeight="1">
      <c r="K716" s="2">
        <v>0.00714</v>
      </c>
      <c r="L716" s="2">
        <f t="shared" si="6"/>
        <v>0.0001019540027</v>
      </c>
      <c r="M716" s="2">
        <f t="shared" si="7"/>
        <v>0.1181646891</v>
      </c>
      <c r="N716" s="2">
        <f t="shared" si="8"/>
        <v>0.02399686011</v>
      </c>
      <c r="O716" s="2"/>
      <c r="P716" s="2"/>
      <c r="Q716" s="2"/>
      <c r="R716" s="4"/>
    </row>
    <row r="717" ht="14.25" customHeight="1">
      <c r="K717" s="2">
        <v>0.00715</v>
      </c>
      <c r="L717" s="2">
        <f t="shared" si="6"/>
        <v>0.0001022397735</v>
      </c>
      <c r="M717" s="2">
        <f t="shared" si="7"/>
        <v>0.1184958975</v>
      </c>
      <c r="N717" s="2">
        <f t="shared" si="8"/>
        <v>0.02403758028</v>
      </c>
      <c r="O717" s="2"/>
      <c r="P717" s="2"/>
      <c r="Q717" s="2"/>
      <c r="R717" s="4"/>
    </row>
    <row r="718" ht="14.25" customHeight="1">
      <c r="K718" s="2">
        <v>0.00716</v>
      </c>
      <c r="L718" s="2">
        <f t="shared" si="6"/>
        <v>0.0001025259442</v>
      </c>
      <c r="M718" s="2">
        <f t="shared" si="7"/>
        <v>0.1188275693</v>
      </c>
      <c r="N718" s="2">
        <f t="shared" si="8"/>
        <v>0.02407833031</v>
      </c>
      <c r="O718" s="2"/>
      <c r="P718" s="2"/>
      <c r="Q718" s="2"/>
      <c r="R718" s="4"/>
    </row>
    <row r="719" ht="14.25" customHeight="1">
      <c r="K719" s="2">
        <v>0.00717</v>
      </c>
      <c r="L719" s="2">
        <f t="shared" si="6"/>
        <v>0.0001028125148</v>
      </c>
      <c r="M719" s="2">
        <f t="shared" si="7"/>
        <v>0.1191597046</v>
      </c>
      <c r="N719" s="2">
        <f t="shared" si="8"/>
        <v>0.02411911023</v>
      </c>
      <c r="O719" s="2"/>
      <c r="P719" s="2"/>
      <c r="Q719" s="2"/>
      <c r="R719" s="4"/>
    </row>
    <row r="720" ht="14.25" customHeight="1">
      <c r="K720" s="2">
        <v>0.00718</v>
      </c>
      <c r="L720" s="2">
        <f t="shared" si="6"/>
        <v>0.0001030994852</v>
      </c>
      <c r="M720" s="2">
        <f t="shared" si="7"/>
        <v>0.1194923034</v>
      </c>
      <c r="N720" s="2">
        <f t="shared" si="8"/>
        <v>0.02415992009</v>
      </c>
      <c r="O720" s="2"/>
      <c r="P720" s="2"/>
      <c r="Q720" s="2"/>
      <c r="R720" s="4"/>
    </row>
    <row r="721" ht="14.25" customHeight="1">
      <c r="K721" s="2">
        <v>0.00719</v>
      </c>
      <c r="L721" s="2">
        <f t="shared" si="6"/>
        <v>0.0001033868556</v>
      </c>
      <c r="M721" s="2">
        <f t="shared" si="7"/>
        <v>0.1198253656</v>
      </c>
      <c r="N721" s="2">
        <f t="shared" si="8"/>
        <v>0.02420075992</v>
      </c>
      <c r="O721" s="2"/>
      <c r="P721" s="2"/>
      <c r="Q721" s="2"/>
      <c r="R721" s="4"/>
    </row>
    <row r="722" ht="14.25" customHeight="1">
      <c r="K722" s="2">
        <v>0.0072</v>
      </c>
      <c r="L722" s="2">
        <f t="shared" si="6"/>
        <v>0.0001036746258</v>
      </c>
      <c r="M722" s="2">
        <f t="shared" si="7"/>
        <v>0.1201588913</v>
      </c>
      <c r="N722" s="2">
        <f t="shared" si="8"/>
        <v>0.02424162977</v>
      </c>
      <c r="O722" s="2"/>
      <c r="P722" s="2"/>
      <c r="Q722" s="2"/>
      <c r="R722" s="4"/>
    </row>
    <row r="723" ht="14.25" customHeight="1">
      <c r="K723" s="2">
        <v>0.00721</v>
      </c>
      <c r="L723" s="2">
        <f t="shared" si="6"/>
        <v>0.0001039627959</v>
      </c>
      <c r="M723" s="2">
        <f t="shared" si="7"/>
        <v>0.1204928804</v>
      </c>
      <c r="N723" s="2">
        <f t="shared" si="8"/>
        <v>0.02428252969</v>
      </c>
      <c r="O723" s="2"/>
      <c r="P723" s="2"/>
      <c r="Q723" s="2"/>
      <c r="R723" s="4"/>
    </row>
    <row r="724" ht="14.25" customHeight="1">
      <c r="K724" s="2">
        <v>0.00722</v>
      </c>
      <c r="L724" s="2">
        <f t="shared" si="6"/>
        <v>0.0001042513658</v>
      </c>
      <c r="M724" s="2">
        <f t="shared" si="7"/>
        <v>0.120827333</v>
      </c>
      <c r="N724" s="2">
        <f t="shared" si="8"/>
        <v>0.0243234597</v>
      </c>
      <c r="O724" s="2"/>
      <c r="P724" s="2"/>
      <c r="Q724" s="2"/>
      <c r="R724" s="4"/>
    </row>
    <row r="725" ht="14.25" customHeight="1">
      <c r="K725" s="2">
        <v>0.00723</v>
      </c>
      <c r="L725" s="2">
        <f t="shared" si="6"/>
        <v>0.0001045403357</v>
      </c>
      <c r="M725" s="2">
        <f t="shared" si="7"/>
        <v>0.121162249</v>
      </c>
      <c r="N725" s="2">
        <f t="shared" si="8"/>
        <v>0.02436441986</v>
      </c>
      <c r="O725" s="2"/>
      <c r="P725" s="2"/>
      <c r="Q725" s="2"/>
      <c r="R725" s="4"/>
    </row>
    <row r="726" ht="14.25" customHeight="1">
      <c r="K726" s="2">
        <v>0.00724</v>
      </c>
      <c r="L726" s="2">
        <f t="shared" si="6"/>
        <v>0.0001048297054</v>
      </c>
      <c r="M726" s="2">
        <f t="shared" si="7"/>
        <v>0.1214976285</v>
      </c>
      <c r="N726" s="2">
        <f t="shared" si="8"/>
        <v>0.0244054102</v>
      </c>
      <c r="O726" s="2"/>
      <c r="P726" s="2"/>
      <c r="Q726" s="2"/>
      <c r="R726" s="4"/>
    </row>
    <row r="727" ht="14.25" customHeight="1">
      <c r="K727" s="2">
        <v>0.00725</v>
      </c>
      <c r="L727" s="2">
        <f t="shared" si="6"/>
        <v>0.0001051194749</v>
      </c>
      <c r="M727" s="2">
        <f t="shared" si="7"/>
        <v>0.1218334715</v>
      </c>
      <c r="N727" s="2">
        <f t="shared" si="8"/>
        <v>0.02444643077</v>
      </c>
      <c r="O727" s="2"/>
      <c r="P727" s="2"/>
      <c r="Q727" s="2"/>
      <c r="R727" s="4"/>
    </row>
    <row r="728" ht="14.25" customHeight="1">
      <c r="K728" s="2">
        <v>0.00726</v>
      </c>
      <c r="L728" s="2">
        <f t="shared" si="6"/>
        <v>0.0001054096444</v>
      </c>
      <c r="M728" s="2">
        <f t="shared" si="7"/>
        <v>0.1221697779</v>
      </c>
      <c r="N728" s="2">
        <f t="shared" si="8"/>
        <v>0.02448748161</v>
      </c>
      <c r="O728" s="2"/>
      <c r="P728" s="2"/>
      <c r="Q728" s="2"/>
      <c r="R728" s="4"/>
    </row>
    <row r="729" ht="14.25" customHeight="1">
      <c r="K729" s="2">
        <v>0.00727</v>
      </c>
      <c r="L729" s="2">
        <f t="shared" si="6"/>
        <v>0.0001057002137</v>
      </c>
      <c r="M729" s="2">
        <f t="shared" si="7"/>
        <v>0.1225065477</v>
      </c>
      <c r="N729" s="2">
        <f t="shared" si="8"/>
        <v>0.02452856276</v>
      </c>
      <c r="O729" s="2"/>
      <c r="P729" s="2"/>
      <c r="Q729" s="2"/>
      <c r="R729" s="4"/>
    </row>
    <row r="730" ht="14.25" customHeight="1">
      <c r="K730" s="2">
        <v>0.00728</v>
      </c>
      <c r="L730" s="2">
        <f t="shared" si="6"/>
        <v>0.0001059911829</v>
      </c>
      <c r="M730" s="2">
        <f t="shared" si="7"/>
        <v>0.122843781</v>
      </c>
      <c r="N730" s="2">
        <f t="shared" si="8"/>
        <v>0.02456967426</v>
      </c>
      <c r="O730" s="2"/>
      <c r="P730" s="2"/>
      <c r="Q730" s="2"/>
      <c r="R730" s="4"/>
    </row>
    <row r="731" ht="14.25" customHeight="1">
      <c r="K731" s="2">
        <v>0.00729</v>
      </c>
      <c r="L731" s="2">
        <f t="shared" si="6"/>
        <v>0.000106282552</v>
      </c>
      <c r="M731" s="2">
        <f t="shared" si="7"/>
        <v>0.1231814778</v>
      </c>
      <c r="N731" s="2">
        <f t="shared" si="8"/>
        <v>0.02461081615</v>
      </c>
      <c r="O731" s="2"/>
      <c r="P731" s="2"/>
      <c r="Q731" s="2"/>
      <c r="R731" s="4"/>
    </row>
    <row r="732" ht="14.25" customHeight="1">
      <c r="K732" s="2">
        <v>0.0073</v>
      </c>
      <c r="L732" s="2">
        <f t="shared" si="6"/>
        <v>0.000106574321</v>
      </c>
      <c r="M732" s="2">
        <f t="shared" si="7"/>
        <v>0.123519638</v>
      </c>
      <c r="N732" s="2">
        <f t="shared" si="8"/>
        <v>0.02465198848</v>
      </c>
      <c r="O732" s="2"/>
      <c r="P732" s="2"/>
      <c r="Q732" s="2"/>
      <c r="R732" s="4"/>
    </row>
    <row r="733" ht="14.25" customHeight="1">
      <c r="K733" s="2">
        <v>0.00731</v>
      </c>
      <c r="L733" s="2">
        <f t="shared" si="6"/>
        <v>0.0001068664898</v>
      </c>
      <c r="M733" s="2">
        <f t="shared" si="7"/>
        <v>0.1238582617</v>
      </c>
      <c r="N733" s="2">
        <f t="shared" si="8"/>
        <v>0.02469319129</v>
      </c>
      <c r="O733" s="2"/>
      <c r="P733" s="2"/>
      <c r="Q733" s="2"/>
      <c r="R733" s="4"/>
    </row>
    <row r="734" ht="14.25" customHeight="1">
      <c r="K734" s="2">
        <v>0.00732</v>
      </c>
      <c r="L734" s="2">
        <f t="shared" si="6"/>
        <v>0.0001071590585</v>
      </c>
      <c r="M734" s="2">
        <f t="shared" si="7"/>
        <v>0.1241973488</v>
      </c>
      <c r="N734" s="2">
        <f t="shared" si="8"/>
        <v>0.02473442462</v>
      </c>
      <c r="O734" s="2"/>
      <c r="P734" s="2"/>
      <c r="Q734" s="2"/>
      <c r="R734" s="4"/>
    </row>
    <row r="735" ht="14.25" customHeight="1">
      <c r="K735" s="2">
        <v>0.00733</v>
      </c>
      <c r="L735" s="2">
        <f t="shared" si="6"/>
        <v>0.000107452027</v>
      </c>
      <c r="M735" s="2">
        <f t="shared" si="7"/>
        <v>0.1245368993</v>
      </c>
      <c r="N735" s="2">
        <f t="shared" si="8"/>
        <v>0.02477568851</v>
      </c>
      <c r="O735" s="2"/>
      <c r="P735" s="2"/>
      <c r="Q735" s="2"/>
      <c r="R735" s="4"/>
    </row>
    <row r="736" ht="14.25" customHeight="1">
      <c r="K736" s="2">
        <v>0.00734</v>
      </c>
      <c r="L736" s="2">
        <f t="shared" si="6"/>
        <v>0.0001077453955</v>
      </c>
      <c r="M736" s="2">
        <f t="shared" si="7"/>
        <v>0.1248769133</v>
      </c>
      <c r="N736" s="2">
        <f t="shared" si="8"/>
        <v>0.02481698299</v>
      </c>
      <c r="O736" s="2"/>
      <c r="P736" s="2"/>
      <c r="Q736" s="2"/>
      <c r="R736" s="4"/>
    </row>
    <row r="737" ht="14.25" customHeight="1">
      <c r="K737" s="2">
        <v>0.00735</v>
      </c>
      <c r="L737" s="2">
        <f t="shared" si="6"/>
        <v>0.0001080391638</v>
      </c>
      <c r="M737" s="2">
        <f t="shared" si="7"/>
        <v>0.1252173908</v>
      </c>
      <c r="N737" s="2">
        <f t="shared" si="8"/>
        <v>0.02485830813</v>
      </c>
      <c r="O737" s="2"/>
      <c r="P737" s="2"/>
      <c r="Q737" s="2"/>
      <c r="R737" s="4"/>
    </row>
    <row r="738" ht="14.25" customHeight="1">
      <c r="K738" s="2">
        <v>0.00736</v>
      </c>
      <c r="L738" s="2">
        <f t="shared" si="6"/>
        <v>0.0001083333319</v>
      </c>
      <c r="M738" s="2">
        <f t="shared" si="7"/>
        <v>0.1255583317</v>
      </c>
      <c r="N738" s="2">
        <f t="shared" si="8"/>
        <v>0.02489966395</v>
      </c>
      <c r="O738" s="2"/>
      <c r="P738" s="2"/>
      <c r="Q738" s="2"/>
      <c r="R738" s="4"/>
    </row>
    <row r="739" ht="14.25" customHeight="1">
      <c r="K739" s="2">
        <v>0.00737</v>
      </c>
      <c r="L739" s="2">
        <f t="shared" si="6"/>
        <v>0.0001086279</v>
      </c>
      <c r="M739" s="2">
        <f t="shared" si="7"/>
        <v>0.1258997361</v>
      </c>
      <c r="N739" s="2">
        <f t="shared" si="8"/>
        <v>0.0249410505</v>
      </c>
      <c r="O739" s="2"/>
      <c r="P739" s="2"/>
      <c r="Q739" s="2"/>
      <c r="R739" s="4"/>
    </row>
    <row r="740" ht="14.25" customHeight="1">
      <c r="K740" s="2">
        <v>0.00738</v>
      </c>
      <c r="L740" s="2">
        <f t="shared" si="6"/>
        <v>0.0001089228679</v>
      </c>
      <c r="M740" s="2">
        <f t="shared" si="7"/>
        <v>0.1262416039</v>
      </c>
      <c r="N740" s="2">
        <f t="shared" si="8"/>
        <v>0.02498246781</v>
      </c>
      <c r="O740" s="2"/>
      <c r="P740" s="2"/>
      <c r="Q740" s="2"/>
      <c r="R740" s="4"/>
    </row>
    <row r="741" ht="14.25" customHeight="1">
      <c r="K741" s="2">
        <v>0.00739</v>
      </c>
      <c r="L741" s="2">
        <f t="shared" si="6"/>
        <v>0.0001092182357</v>
      </c>
      <c r="M741" s="2">
        <f t="shared" si="7"/>
        <v>0.1265839352</v>
      </c>
      <c r="N741" s="2">
        <f t="shared" si="8"/>
        <v>0.02502391594</v>
      </c>
      <c r="O741" s="2"/>
      <c r="P741" s="2"/>
      <c r="Q741" s="2"/>
      <c r="R741" s="4"/>
    </row>
    <row r="742" ht="14.25" customHeight="1">
      <c r="K742" s="2">
        <v>0.0074</v>
      </c>
      <c r="L742" s="2">
        <f t="shared" si="6"/>
        <v>0.0001095140033</v>
      </c>
      <c r="M742" s="2">
        <f t="shared" si="7"/>
        <v>0.1269267299</v>
      </c>
      <c r="N742" s="2">
        <f t="shared" si="8"/>
        <v>0.02506539492</v>
      </c>
      <c r="O742" s="2"/>
      <c r="P742" s="2"/>
      <c r="Q742" s="2"/>
      <c r="R742" s="4"/>
    </row>
    <row r="743" ht="14.25" customHeight="1">
      <c r="K743" s="2">
        <v>0.00741</v>
      </c>
      <c r="L743" s="2">
        <f t="shared" si="6"/>
        <v>0.0001098101709</v>
      </c>
      <c r="M743" s="2">
        <f t="shared" si="7"/>
        <v>0.127269988</v>
      </c>
      <c r="N743" s="2">
        <f t="shared" si="8"/>
        <v>0.02510690479</v>
      </c>
      <c r="O743" s="2"/>
      <c r="P743" s="2"/>
      <c r="Q743" s="2"/>
      <c r="R743" s="4"/>
    </row>
    <row r="744" ht="14.25" customHeight="1">
      <c r="K744" s="2">
        <v>0.00742</v>
      </c>
      <c r="L744" s="2">
        <f t="shared" si="6"/>
        <v>0.0001101067383</v>
      </c>
      <c r="M744" s="2">
        <f t="shared" si="7"/>
        <v>0.1276137096</v>
      </c>
      <c r="N744" s="2">
        <f t="shared" si="8"/>
        <v>0.0251484456</v>
      </c>
      <c r="O744" s="2"/>
      <c r="P744" s="2"/>
      <c r="Q744" s="2"/>
      <c r="R744" s="4"/>
    </row>
    <row r="745" ht="14.25" customHeight="1">
      <c r="K745" s="2">
        <v>0.00743</v>
      </c>
      <c r="L745" s="2">
        <f t="shared" si="6"/>
        <v>0.0001104037055</v>
      </c>
      <c r="M745" s="2">
        <f t="shared" si="7"/>
        <v>0.1279578947</v>
      </c>
      <c r="N745" s="2">
        <f t="shared" si="8"/>
        <v>0.02519001739</v>
      </c>
      <c r="O745" s="2"/>
      <c r="P745" s="2"/>
      <c r="Q745" s="2"/>
      <c r="R745" s="4"/>
    </row>
    <row r="746" ht="14.25" customHeight="1">
      <c r="K746" s="2">
        <v>0.00744</v>
      </c>
      <c r="L746" s="2">
        <f t="shared" si="6"/>
        <v>0.0001107010726</v>
      </c>
      <c r="M746" s="2">
        <f t="shared" si="7"/>
        <v>0.1283025432</v>
      </c>
      <c r="N746" s="2">
        <f t="shared" si="8"/>
        <v>0.0252316202</v>
      </c>
      <c r="O746" s="2"/>
      <c r="P746" s="2"/>
      <c r="Q746" s="2"/>
      <c r="R746" s="4"/>
    </row>
    <row r="747" ht="14.25" customHeight="1">
      <c r="K747" s="2">
        <v>0.00745</v>
      </c>
      <c r="L747" s="2">
        <f t="shared" si="6"/>
        <v>0.0001109988396</v>
      </c>
      <c r="M747" s="2">
        <f t="shared" si="7"/>
        <v>0.1286476551</v>
      </c>
      <c r="N747" s="2">
        <f t="shared" si="8"/>
        <v>0.02527325407</v>
      </c>
      <c r="O747" s="2"/>
      <c r="P747" s="2"/>
      <c r="Q747" s="2"/>
      <c r="R747" s="4"/>
    </row>
    <row r="748" ht="14.25" customHeight="1">
      <c r="K748" s="2">
        <v>0.00746</v>
      </c>
      <c r="L748" s="2">
        <f t="shared" si="6"/>
        <v>0.0001112970065</v>
      </c>
      <c r="M748" s="2">
        <f t="shared" si="7"/>
        <v>0.1289932305</v>
      </c>
      <c r="N748" s="2">
        <f t="shared" si="8"/>
        <v>0.02531491904</v>
      </c>
      <c r="O748" s="2"/>
      <c r="P748" s="2"/>
      <c r="Q748" s="2"/>
      <c r="R748" s="4"/>
    </row>
    <row r="749" ht="14.25" customHeight="1">
      <c r="K749" s="2">
        <v>0.00747</v>
      </c>
      <c r="L749" s="2">
        <f t="shared" si="6"/>
        <v>0.0001115955732</v>
      </c>
      <c r="M749" s="2">
        <f t="shared" si="7"/>
        <v>0.1293392694</v>
      </c>
      <c r="N749" s="2">
        <f t="shared" si="8"/>
        <v>0.02535661515</v>
      </c>
      <c r="O749" s="2"/>
      <c r="P749" s="2"/>
      <c r="Q749" s="2"/>
      <c r="R749" s="4"/>
    </row>
    <row r="750" ht="14.25" customHeight="1">
      <c r="K750" s="2">
        <v>0.00748</v>
      </c>
      <c r="L750" s="2">
        <f t="shared" si="6"/>
        <v>0.0001118945398</v>
      </c>
      <c r="M750" s="2">
        <f t="shared" si="7"/>
        <v>0.1296857716</v>
      </c>
      <c r="N750" s="2">
        <f t="shared" si="8"/>
        <v>0.02539834245</v>
      </c>
      <c r="O750" s="2"/>
      <c r="P750" s="2"/>
      <c r="Q750" s="2"/>
      <c r="R750" s="4"/>
    </row>
    <row r="751" ht="14.25" customHeight="1">
      <c r="K751" s="2">
        <v>0.00749</v>
      </c>
      <c r="L751" s="2">
        <f t="shared" si="6"/>
        <v>0.0001121939063</v>
      </c>
      <c r="M751" s="2">
        <f t="shared" si="7"/>
        <v>0.1300327374</v>
      </c>
      <c r="N751" s="2">
        <f t="shared" si="8"/>
        <v>0.02544010098</v>
      </c>
      <c r="O751" s="2"/>
      <c r="P751" s="2"/>
      <c r="Q751" s="2"/>
      <c r="R751" s="4"/>
    </row>
    <row r="752" ht="14.25" customHeight="1">
      <c r="K752" s="2">
        <v>0.0075</v>
      </c>
      <c r="L752" s="2">
        <f t="shared" si="6"/>
        <v>0.0001124936726</v>
      </c>
      <c r="M752" s="2">
        <f t="shared" si="7"/>
        <v>0.1303801665</v>
      </c>
      <c r="N752" s="2">
        <f t="shared" si="8"/>
        <v>0.02548189078</v>
      </c>
      <c r="O752" s="2"/>
      <c r="P752" s="2"/>
      <c r="Q752" s="2"/>
      <c r="R752" s="4"/>
    </row>
    <row r="753" ht="14.25" customHeight="1">
      <c r="K753" s="2">
        <v>0.00751</v>
      </c>
      <c r="L753" s="2">
        <f t="shared" si="6"/>
        <v>0.0001127938388</v>
      </c>
      <c r="M753" s="2">
        <f t="shared" si="7"/>
        <v>0.1307280591</v>
      </c>
      <c r="N753" s="2">
        <f t="shared" si="8"/>
        <v>0.02552371189</v>
      </c>
      <c r="O753" s="2"/>
      <c r="P753" s="2"/>
      <c r="Q753" s="2"/>
      <c r="R753" s="4"/>
    </row>
    <row r="754" ht="14.25" customHeight="1">
      <c r="K754" s="2">
        <v>0.00752</v>
      </c>
      <c r="L754" s="2">
        <f t="shared" si="6"/>
        <v>0.0001130944048</v>
      </c>
      <c r="M754" s="2">
        <f t="shared" si="7"/>
        <v>0.1310764152</v>
      </c>
      <c r="N754" s="2">
        <f t="shared" si="8"/>
        <v>0.02556556436</v>
      </c>
      <c r="O754" s="2"/>
      <c r="P754" s="2"/>
      <c r="Q754" s="2"/>
      <c r="R754" s="4"/>
    </row>
    <row r="755" ht="14.25" customHeight="1">
      <c r="K755" s="2">
        <v>0.00753</v>
      </c>
      <c r="L755" s="2">
        <f t="shared" si="6"/>
        <v>0.0001133953707</v>
      </c>
      <c r="M755" s="2">
        <f t="shared" si="7"/>
        <v>0.1314252347</v>
      </c>
      <c r="N755" s="2">
        <f t="shared" si="8"/>
        <v>0.02560744822</v>
      </c>
      <c r="O755" s="2"/>
      <c r="P755" s="2"/>
      <c r="Q755" s="2"/>
      <c r="R755" s="4"/>
    </row>
    <row r="756" ht="14.25" customHeight="1">
      <c r="K756" s="2">
        <v>0.00754</v>
      </c>
      <c r="L756" s="2">
        <f t="shared" si="6"/>
        <v>0.0001136967365</v>
      </c>
      <c r="M756" s="2">
        <f t="shared" si="7"/>
        <v>0.1317745176</v>
      </c>
      <c r="N756" s="2">
        <f t="shared" si="8"/>
        <v>0.02564936351</v>
      </c>
      <c r="O756" s="2"/>
      <c r="P756" s="2"/>
      <c r="Q756" s="2"/>
      <c r="R756" s="4"/>
    </row>
    <row r="757" ht="14.25" customHeight="1">
      <c r="K757" s="2">
        <v>0.00755</v>
      </c>
      <c r="L757" s="2">
        <f t="shared" si="6"/>
        <v>0.0001139985022</v>
      </c>
      <c r="M757" s="2">
        <f t="shared" si="7"/>
        <v>0.132124264</v>
      </c>
      <c r="N757" s="2">
        <f t="shared" si="8"/>
        <v>0.02569131028</v>
      </c>
      <c r="O757" s="2"/>
      <c r="P757" s="2"/>
      <c r="Q757" s="2"/>
      <c r="R757" s="4"/>
    </row>
    <row r="758" ht="14.25" customHeight="1">
      <c r="K758" s="2">
        <v>0.00756</v>
      </c>
      <c r="L758" s="2">
        <f t="shared" si="6"/>
        <v>0.0001143006677</v>
      </c>
      <c r="M758" s="2">
        <f t="shared" si="7"/>
        <v>0.1324744738</v>
      </c>
      <c r="N758" s="2">
        <f t="shared" si="8"/>
        <v>0.02573328858</v>
      </c>
      <c r="O758" s="2"/>
      <c r="P758" s="2"/>
      <c r="Q758" s="2"/>
      <c r="R758" s="4"/>
    </row>
    <row r="759" ht="14.25" customHeight="1">
      <c r="K759" s="2">
        <v>0.00757</v>
      </c>
      <c r="L759" s="2">
        <f t="shared" si="6"/>
        <v>0.000114603233</v>
      </c>
      <c r="M759" s="2">
        <f t="shared" si="7"/>
        <v>0.1328251471</v>
      </c>
      <c r="N759" s="2">
        <f t="shared" si="8"/>
        <v>0.02577529843</v>
      </c>
      <c r="O759" s="2"/>
      <c r="P759" s="2"/>
      <c r="Q759" s="2"/>
      <c r="R759" s="4"/>
    </row>
    <row r="760" ht="14.25" customHeight="1">
      <c r="K760" s="2">
        <v>0.00758</v>
      </c>
      <c r="L760" s="2">
        <f t="shared" si="6"/>
        <v>0.0001149061983</v>
      </c>
      <c r="M760" s="2">
        <f t="shared" si="7"/>
        <v>0.1331762838</v>
      </c>
      <c r="N760" s="2">
        <f t="shared" si="8"/>
        <v>0.02581733989</v>
      </c>
      <c r="O760" s="2"/>
      <c r="P760" s="2"/>
      <c r="Q760" s="2"/>
      <c r="R760" s="4"/>
    </row>
    <row r="761" ht="14.25" customHeight="1">
      <c r="K761" s="2">
        <v>0.00759</v>
      </c>
      <c r="L761" s="2">
        <f t="shared" si="6"/>
        <v>0.0001152095634</v>
      </c>
      <c r="M761" s="2">
        <f t="shared" si="7"/>
        <v>0.133527884</v>
      </c>
      <c r="N761" s="2">
        <f t="shared" si="8"/>
        <v>0.02585941299</v>
      </c>
      <c r="O761" s="2"/>
      <c r="P761" s="2"/>
      <c r="Q761" s="2"/>
      <c r="R761" s="4"/>
    </row>
    <row r="762" ht="14.25" customHeight="1">
      <c r="K762" s="2">
        <v>0.0076</v>
      </c>
      <c r="L762" s="2">
        <f t="shared" si="6"/>
        <v>0.0001155133283</v>
      </c>
      <c r="M762" s="2">
        <f t="shared" si="7"/>
        <v>0.1338799475</v>
      </c>
      <c r="N762" s="2">
        <f t="shared" si="8"/>
        <v>0.02590151778</v>
      </c>
      <c r="O762" s="2"/>
      <c r="P762" s="2"/>
      <c r="Q762" s="2"/>
      <c r="R762" s="4"/>
    </row>
    <row r="763" ht="14.25" customHeight="1">
      <c r="K763" s="2">
        <v>0.00761</v>
      </c>
      <c r="L763" s="2">
        <f t="shared" si="6"/>
        <v>0.0001158174932</v>
      </c>
      <c r="M763" s="2">
        <f t="shared" si="7"/>
        <v>0.1342324746</v>
      </c>
      <c r="N763" s="2">
        <f t="shared" si="8"/>
        <v>0.0259436543</v>
      </c>
      <c r="O763" s="2"/>
      <c r="P763" s="2"/>
      <c r="Q763" s="2"/>
      <c r="R763" s="4"/>
    </row>
    <row r="764" ht="14.25" customHeight="1">
      <c r="K764" s="2">
        <v>0.00762</v>
      </c>
      <c r="L764" s="2">
        <f t="shared" si="6"/>
        <v>0.0001161220578</v>
      </c>
      <c r="M764" s="2">
        <f t="shared" si="7"/>
        <v>0.134585465</v>
      </c>
      <c r="N764" s="2">
        <f t="shared" si="8"/>
        <v>0.02598582259</v>
      </c>
      <c r="O764" s="2"/>
      <c r="P764" s="2"/>
      <c r="Q764" s="2"/>
      <c r="R764" s="4"/>
    </row>
    <row r="765" ht="14.25" customHeight="1">
      <c r="K765" s="2">
        <v>0.00763</v>
      </c>
      <c r="L765" s="2">
        <f t="shared" si="6"/>
        <v>0.0001164270224</v>
      </c>
      <c r="M765" s="2">
        <f t="shared" si="7"/>
        <v>0.1349389189</v>
      </c>
      <c r="N765" s="2">
        <f t="shared" si="8"/>
        <v>0.02602802269</v>
      </c>
      <c r="O765" s="2"/>
      <c r="P765" s="2"/>
      <c r="Q765" s="2"/>
      <c r="R765" s="4"/>
    </row>
    <row r="766" ht="14.25" customHeight="1">
      <c r="K766" s="2">
        <v>0.00764</v>
      </c>
      <c r="L766" s="2">
        <f t="shared" si="6"/>
        <v>0.0001167323868</v>
      </c>
      <c r="M766" s="2">
        <f t="shared" si="7"/>
        <v>0.1352928363</v>
      </c>
      <c r="N766" s="2">
        <f t="shared" si="8"/>
        <v>0.02607025464</v>
      </c>
      <c r="O766" s="2"/>
      <c r="P766" s="2"/>
      <c r="Q766" s="2"/>
      <c r="R766" s="4"/>
    </row>
    <row r="767" ht="14.25" customHeight="1">
      <c r="K767" s="2">
        <v>0.00765</v>
      </c>
      <c r="L767" s="2">
        <f t="shared" si="6"/>
        <v>0.000117038151</v>
      </c>
      <c r="M767" s="2">
        <f t="shared" si="7"/>
        <v>0.1356472171</v>
      </c>
      <c r="N767" s="2">
        <f t="shared" si="8"/>
        <v>0.02611251849</v>
      </c>
      <c r="O767" s="2"/>
      <c r="P767" s="2"/>
      <c r="Q767" s="2"/>
      <c r="R767" s="4"/>
    </row>
    <row r="768" ht="14.25" customHeight="1">
      <c r="K768" s="2">
        <v>0.00766</v>
      </c>
      <c r="L768" s="2">
        <f t="shared" si="6"/>
        <v>0.0001173443152</v>
      </c>
      <c r="M768" s="2">
        <f t="shared" si="7"/>
        <v>0.1360020613</v>
      </c>
      <c r="N768" s="2">
        <f t="shared" si="8"/>
        <v>0.02615481427</v>
      </c>
      <c r="O768" s="2"/>
      <c r="P768" s="2"/>
      <c r="Q768" s="2"/>
      <c r="R768" s="4"/>
    </row>
    <row r="769" ht="14.25" customHeight="1">
      <c r="K769" s="2">
        <v>0.00767</v>
      </c>
      <c r="L769" s="2">
        <f t="shared" si="6"/>
        <v>0.0001176508791</v>
      </c>
      <c r="M769" s="2">
        <f t="shared" si="7"/>
        <v>0.1363573689</v>
      </c>
      <c r="N769" s="2">
        <f t="shared" si="8"/>
        <v>0.02619714204</v>
      </c>
      <c r="O769" s="2"/>
      <c r="P769" s="2"/>
      <c r="Q769" s="2"/>
      <c r="R769" s="4"/>
    </row>
    <row r="770" ht="14.25" customHeight="1">
      <c r="K770" s="2">
        <v>0.00768</v>
      </c>
      <c r="L770" s="2">
        <f t="shared" si="6"/>
        <v>0.000117957843</v>
      </c>
      <c r="M770" s="2">
        <f t="shared" si="7"/>
        <v>0.13671314</v>
      </c>
      <c r="N770" s="2">
        <f t="shared" si="8"/>
        <v>0.02623950182</v>
      </c>
      <c r="O770" s="2"/>
      <c r="P770" s="2"/>
      <c r="Q770" s="2"/>
      <c r="R770" s="4"/>
    </row>
    <row r="771" ht="14.25" customHeight="1">
      <c r="K771" s="2">
        <v>0.00769</v>
      </c>
      <c r="L771" s="2">
        <f t="shared" si="6"/>
        <v>0.0001182652067</v>
      </c>
      <c r="M771" s="2">
        <f t="shared" si="7"/>
        <v>0.1370693745</v>
      </c>
      <c r="N771" s="2">
        <f t="shared" si="8"/>
        <v>0.02628189366</v>
      </c>
      <c r="O771" s="2"/>
      <c r="P771" s="2"/>
      <c r="Q771" s="2"/>
      <c r="R771" s="4"/>
    </row>
    <row r="772" ht="14.25" customHeight="1">
      <c r="K772" s="2">
        <v>0.0077</v>
      </c>
      <c r="L772" s="2">
        <f t="shared" si="6"/>
        <v>0.0001185729702</v>
      </c>
      <c r="M772" s="2">
        <f t="shared" si="7"/>
        <v>0.1374260725</v>
      </c>
      <c r="N772" s="2">
        <f t="shared" si="8"/>
        <v>0.02632431761</v>
      </c>
      <c r="O772" s="2"/>
      <c r="P772" s="2"/>
      <c r="Q772" s="2"/>
      <c r="R772" s="4"/>
    </row>
    <row r="773" ht="14.25" customHeight="1">
      <c r="K773" s="2">
        <v>0.00771</v>
      </c>
      <c r="L773" s="2">
        <f t="shared" si="6"/>
        <v>0.0001188811336</v>
      </c>
      <c r="M773" s="2">
        <f t="shared" si="7"/>
        <v>0.1377832339</v>
      </c>
      <c r="N773" s="2">
        <f t="shared" si="8"/>
        <v>0.02636677371</v>
      </c>
      <c r="O773" s="2"/>
      <c r="P773" s="2"/>
      <c r="Q773" s="2"/>
      <c r="R773" s="4"/>
    </row>
    <row r="774" ht="14.25" customHeight="1">
      <c r="K774" s="2">
        <v>0.00772</v>
      </c>
      <c r="L774" s="2">
        <f t="shared" si="6"/>
        <v>0.0001191896969</v>
      </c>
      <c r="M774" s="2">
        <f t="shared" si="7"/>
        <v>0.1381408587</v>
      </c>
      <c r="N774" s="2">
        <f t="shared" si="8"/>
        <v>0.02640926199</v>
      </c>
      <c r="O774" s="2"/>
      <c r="P774" s="2"/>
      <c r="Q774" s="2"/>
      <c r="R774" s="4"/>
    </row>
    <row r="775" ht="14.25" customHeight="1">
      <c r="K775" s="2">
        <v>0.00773</v>
      </c>
      <c r="L775" s="2">
        <f t="shared" si="6"/>
        <v>0.00011949866</v>
      </c>
      <c r="M775" s="2">
        <f t="shared" si="7"/>
        <v>0.138498947</v>
      </c>
      <c r="N775" s="2">
        <f t="shared" si="8"/>
        <v>0.0264517825</v>
      </c>
      <c r="O775" s="2"/>
      <c r="P775" s="2"/>
      <c r="Q775" s="2"/>
      <c r="R775" s="4"/>
    </row>
    <row r="776" ht="14.25" customHeight="1">
      <c r="K776" s="2">
        <v>0.00774</v>
      </c>
      <c r="L776" s="2">
        <f t="shared" si="6"/>
        <v>0.000119808023</v>
      </c>
      <c r="M776" s="2">
        <f t="shared" si="7"/>
        <v>0.1388574987</v>
      </c>
      <c r="N776" s="2">
        <f t="shared" si="8"/>
        <v>0.02649433528</v>
      </c>
      <c r="O776" s="2"/>
      <c r="P776" s="2"/>
      <c r="Q776" s="2"/>
      <c r="R776" s="4"/>
    </row>
    <row r="777" ht="14.25" customHeight="1">
      <c r="K777" s="2">
        <v>0.00775</v>
      </c>
      <c r="L777" s="2">
        <f t="shared" si="6"/>
        <v>0.0001201177859</v>
      </c>
      <c r="M777" s="2">
        <f t="shared" si="7"/>
        <v>0.1392165138</v>
      </c>
      <c r="N777" s="2">
        <f t="shared" si="8"/>
        <v>0.02653692037</v>
      </c>
      <c r="O777" s="2"/>
      <c r="P777" s="2"/>
      <c r="Q777" s="2"/>
      <c r="R777" s="4"/>
    </row>
    <row r="778" ht="14.25" customHeight="1">
      <c r="K778" s="2">
        <v>0.00776</v>
      </c>
      <c r="L778" s="2">
        <f t="shared" si="6"/>
        <v>0.0001204279486</v>
      </c>
      <c r="M778" s="2">
        <f t="shared" si="7"/>
        <v>0.1395759924</v>
      </c>
      <c r="N778" s="2">
        <f t="shared" si="8"/>
        <v>0.02657953782</v>
      </c>
      <c r="O778" s="2"/>
      <c r="P778" s="2"/>
      <c r="Q778" s="2"/>
      <c r="R778" s="4"/>
    </row>
    <row r="779" ht="14.25" customHeight="1">
      <c r="K779" s="2">
        <v>0.00777</v>
      </c>
      <c r="L779" s="2">
        <f t="shared" si="6"/>
        <v>0.0001207385111</v>
      </c>
      <c r="M779" s="2">
        <f t="shared" si="7"/>
        <v>0.1399359344</v>
      </c>
      <c r="N779" s="2">
        <f t="shared" si="8"/>
        <v>0.02662218766</v>
      </c>
      <c r="O779" s="2"/>
      <c r="P779" s="2"/>
      <c r="Q779" s="2"/>
      <c r="R779" s="4"/>
    </row>
    <row r="780" ht="14.25" customHeight="1">
      <c r="K780" s="2">
        <v>0.00778</v>
      </c>
      <c r="L780" s="2">
        <f t="shared" si="6"/>
        <v>0.0001210494735</v>
      </c>
      <c r="M780" s="2">
        <f t="shared" si="7"/>
        <v>0.1402963398</v>
      </c>
      <c r="N780" s="2">
        <f t="shared" si="8"/>
        <v>0.02666486994</v>
      </c>
      <c r="O780" s="2"/>
      <c r="P780" s="2"/>
      <c r="Q780" s="2"/>
      <c r="R780" s="4"/>
    </row>
    <row r="781" ht="14.25" customHeight="1">
      <c r="K781" s="2">
        <v>0.00779</v>
      </c>
      <c r="L781" s="2">
        <f t="shared" si="6"/>
        <v>0.0001213608358</v>
      </c>
      <c r="M781" s="2">
        <f t="shared" si="7"/>
        <v>0.1406572087</v>
      </c>
      <c r="N781" s="2">
        <f t="shared" si="8"/>
        <v>0.0267075847</v>
      </c>
      <c r="O781" s="2"/>
      <c r="P781" s="2"/>
      <c r="Q781" s="2"/>
      <c r="R781" s="4"/>
    </row>
    <row r="782" ht="14.25" customHeight="1">
      <c r="K782" s="2">
        <v>0.0078</v>
      </c>
      <c r="L782" s="2">
        <f t="shared" si="6"/>
        <v>0.0001216725979</v>
      </c>
      <c r="M782" s="2">
        <f t="shared" si="7"/>
        <v>0.141018541</v>
      </c>
      <c r="N782" s="2">
        <f t="shared" si="8"/>
        <v>0.02675033198</v>
      </c>
      <c r="O782" s="2"/>
      <c r="P782" s="2"/>
      <c r="Q782" s="2"/>
      <c r="R782" s="4"/>
    </row>
    <row r="783" ht="14.25" customHeight="1">
      <c r="K783" s="2">
        <v>0.00781</v>
      </c>
      <c r="L783" s="2">
        <f t="shared" si="6"/>
        <v>0.0001219847599</v>
      </c>
      <c r="M783" s="2">
        <f t="shared" si="7"/>
        <v>0.1413803367</v>
      </c>
      <c r="N783" s="2">
        <f t="shared" si="8"/>
        <v>0.02679311182</v>
      </c>
      <c r="O783" s="2"/>
      <c r="P783" s="2"/>
      <c r="Q783" s="2"/>
      <c r="R783" s="4"/>
    </row>
    <row r="784" ht="14.25" customHeight="1">
      <c r="K784" s="2">
        <v>0.00782</v>
      </c>
      <c r="L784" s="2">
        <f t="shared" si="6"/>
        <v>0.0001222973217</v>
      </c>
      <c r="M784" s="2">
        <f t="shared" si="7"/>
        <v>0.1417425958</v>
      </c>
      <c r="N784" s="2">
        <f t="shared" si="8"/>
        <v>0.02683592426</v>
      </c>
      <c r="O784" s="2"/>
      <c r="P784" s="2"/>
      <c r="Q784" s="2"/>
      <c r="R784" s="4"/>
    </row>
    <row r="785" ht="14.25" customHeight="1">
      <c r="K785" s="2">
        <v>0.00783</v>
      </c>
      <c r="L785" s="2">
        <f t="shared" si="6"/>
        <v>0.0001226102834</v>
      </c>
      <c r="M785" s="2">
        <f t="shared" si="7"/>
        <v>0.1421053184</v>
      </c>
      <c r="N785" s="2">
        <f t="shared" si="8"/>
        <v>0.02687876935</v>
      </c>
      <c r="O785" s="2"/>
      <c r="P785" s="2"/>
      <c r="Q785" s="2"/>
      <c r="R785" s="4"/>
    </row>
    <row r="786" ht="14.25" customHeight="1">
      <c r="K786" s="2">
        <v>0.00784</v>
      </c>
      <c r="L786" s="2">
        <f t="shared" si="6"/>
        <v>0.0001229236449</v>
      </c>
      <c r="M786" s="2">
        <f t="shared" si="7"/>
        <v>0.1424685044</v>
      </c>
      <c r="N786" s="2">
        <f t="shared" si="8"/>
        <v>0.02692164713</v>
      </c>
      <c r="O786" s="2"/>
      <c r="P786" s="2"/>
      <c r="Q786" s="2"/>
      <c r="R786" s="4"/>
    </row>
    <row r="787" ht="14.25" customHeight="1">
      <c r="K787" s="2">
        <v>0.00785</v>
      </c>
      <c r="L787" s="2">
        <f t="shared" si="6"/>
        <v>0.0001232374063</v>
      </c>
      <c r="M787" s="2">
        <f t="shared" si="7"/>
        <v>0.1428321539</v>
      </c>
      <c r="N787" s="2">
        <f t="shared" si="8"/>
        <v>0.02696455764</v>
      </c>
      <c r="O787" s="2"/>
      <c r="P787" s="2"/>
      <c r="Q787" s="2"/>
      <c r="R787" s="4"/>
    </row>
    <row r="788" ht="14.25" customHeight="1">
      <c r="K788" s="2">
        <v>0.00786</v>
      </c>
      <c r="L788" s="2">
        <f t="shared" si="6"/>
        <v>0.0001235515675</v>
      </c>
      <c r="M788" s="2">
        <f t="shared" si="7"/>
        <v>0.1431962667</v>
      </c>
      <c r="N788" s="2">
        <f t="shared" si="8"/>
        <v>0.02700750092</v>
      </c>
      <c r="O788" s="2"/>
      <c r="P788" s="2"/>
      <c r="Q788" s="2"/>
      <c r="R788" s="4"/>
    </row>
    <row r="789" ht="14.25" customHeight="1">
      <c r="K789" s="2">
        <v>0.00787</v>
      </c>
      <c r="L789" s="2">
        <f t="shared" si="6"/>
        <v>0.0001238661286</v>
      </c>
      <c r="M789" s="2">
        <f t="shared" si="7"/>
        <v>0.143560843</v>
      </c>
      <c r="N789" s="2">
        <f t="shared" si="8"/>
        <v>0.02705047701</v>
      </c>
      <c r="O789" s="2"/>
      <c r="P789" s="2"/>
      <c r="Q789" s="2"/>
      <c r="R789" s="4"/>
    </row>
    <row r="790" ht="14.25" customHeight="1">
      <c r="K790" s="2">
        <v>0.00788</v>
      </c>
      <c r="L790" s="2">
        <f t="shared" si="6"/>
        <v>0.0001241810895</v>
      </c>
      <c r="M790" s="2">
        <f t="shared" si="7"/>
        <v>0.1439258828</v>
      </c>
      <c r="N790" s="2">
        <f t="shared" si="8"/>
        <v>0.02709348595</v>
      </c>
      <c r="O790" s="2"/>
      <c r="P790" s="2"/>
      <c r="Q790" s="2"/>
      <c r="R790" s="4"/>
    </row>
    <row r="791" ht="14.25" customHeight="1">
      <c r="K791" s="2">
        <v>0.00789</v>
      </c>
      <c r="L791" s="2">
        <f t="shared" si="6"/>
        <v>0.0001244964503</v>
      </c>
      <c r="M791" s="2">
        <f t="shared" si="7"/>
        <v>0.1442913859</v>
      </c>
      <c r="N791" s="2">
        <f t="shared" si="8"/>
        <v>0.02713652779</v>
      </c>
      <c r="O791" s="2"/>
      <c r="P791" s="2"/>
      <c r="Q791" s="2"/>
      <c r="R791" s="4"/>
    </row>
    <row r="792" ht="14.25" customHeight="1">
      <c r="K792" s="2">
        <v>0.0079</v>
      </c>
      <c r="L792" s="2">
        <f t="shared" si="6"/>
        <v>0.000124812211</v>
      </c>
      <c r="M792" s="2">
        <f t="shared" si="7"/>
        <v>0.1446573525</v>
      </c>
      <c r="N792" s="2">
        <f t="shared" si="8"/>
        <v>0.02717960257</v>
      </c>
      <c r="O792" s="2"/>
      <c r="P792" s="2"/>
      <c r="Q792" s="2"/>
      <c r="R792" s="4"/>
    </row>
    <row r="793" ht="14.25" customHeight="1">
      <c r="K793" s="2">
        <v>0.00791</v>
      </c>
      <c r="L793" s="2">
        <f t="shared" si="6"/>
        <v>0.0001251283714</v>
      </c>
      <c r="M793" s="2">
        <f t="shared" si="7"/>
        <v>0.1450237825</v>
      </c>
      <c r="N793" s="2">
        <f t="shared" si="8"/>
        <v>0.02722271033</v>
      </c>
      <c r="O793" s="2"/>
      <c r="P793" s="2"/>
      <c r="Q793" s="2"/>
      <c r="R793" s="4"/>
    </row>
    <row r="794" ht="14.25" customHeight="1">
      <c r="K794" s="2">
        <v>0.00792</v>
      </c>
      <c r="L794" s="2">
        <f t="shared" si="6"/>
        <v>0.0001254449318</v>
      </c>
      <c r="M794" s="2">
        <f t="shared" si="7"/>
        <v>0.1453906759</v>
      </c>
      <c r="N794" s="2">
        <f t="shared" si="8"/>
        <v>0.0272658511</v>
      </c>
      <c r="O794" s="2"/>
      <c r="P794" s="2"/>
      <c r="Q794" s="2"/>
      <c r="R794" s="4"/>
    </row>
    <row r="795" ht="14.25" customHeight="1">
      <c r="K795" s="2">
        <v>0.00793</v>
      </c>
      <c r="L795" s="2">
        <f t="shared" si="6"/>
        <v>0.000125761892</v>
      </c>
      <c r="M795" s="2">
        <f t="shared" si="7"/>
        <v>0.1457580328</v>
      </c>
      <c r="N795" s="2">
        <f t="shared" si="8"/>
        <v>0.02730902495</v>
      </c>
      <c r="O795" s="2"/>
      <c r="P795" s="2"/>
      <c r="Q795" s="2"/>
      <c r="R795" s="4"/>
    </row>
    <row r="796" ht="14.25" customHeight="1">
      <c r="K796" s="2">
        <v>0.00794</v>
      </c>
      <c r="L796" s="2">
        <f t="shared" si="6"/>
        <v>0.000126079252</v>
      </c>
      <c r="M796" s="2">
        <f t="shared" si="7"/>
        <v>0.1461258531</v>
      </c>
      <c r="N796" s="2">
        <f t="shared" si="8"/>
        <v>0.02735223189</v>
      </c>
      <c r="O796" s="2"/>
      <c r="P796" s="2"/>
      <c r="Q796" s="2"/>
      <c r="R796" s="4"/>
    </row>
    <row r="797" ht="14.25" customHeight="1">
      <c r="K797" s="2">
        <v>0.00795</v>
      </c>
      <c r="L797" s="2">
        <f t="shared" si="6"/>
        <v>0.0001263970119</v>
      </c>
      <c r="M797" s="2">
        <f t="shared" si="7"/>
        <v>0.1464941368</v>
      </c>
      <c r="N797" s="2">
        <f t="shared" si="8"/>
        <v>0.02739547198</v>
      </c>
      <c r="O797" s="2"/>
      <c r="P797" s="2"/>
      <c r="Q797" s="2"/>
      <c r="R797" s="4"/>
    </row>
    <row r="798" ht="14.25" customHeight="1">
      <c r="K798" s="2">
        <v>0.00796</v>
      </c>
      <c r="L798" s="2">
        <f t="shared" si="6"/>
        <v>0.0001267151716</v>
      </c>
      <c r="M798" s="2">
        <f t="shared" si="7"/>
        <v>0.1468628839</v>
      </c>
      <c r="N798" s="2">
        <f t="shared" si="8"/>
        <v>0.02743874526</v>
      </c>
      <c r="O798" s="2"/>
      <c r="P798" s="2"/>
      <c r="Q798" s="2"/>
      <c r="R798" s="4"/>
    </row>
    <row r="799" ht="14.25" customHeight="1">
      <c r="K799" s="2">
        <v>0.00797</v>
      </c>
      <c r="L799" s="2">
        <f t="shared" si="6"/>
        <v>0.0001270337312</v>
      </c>
      <c r="M799" s="2">
        <f t="shared" si="7"/>
        <v>0.1472320945</v>
      </c>
      <c r="N799" s="2">
        <f t="shared" si="8"/>
        <v>0.02748205177</v>
      </c>
      <c r="O799" s="2"/>
      <c r="P799" s="2"/>
      <c r="Q799" s="2"/>
      <c r="R799" s="4"/>
    </row>
    <row r="800" ht="14.25" customHeight="1">
      <c r="K800" s="2">
        <v>0.00798</v>
      </c>
      <c r="L800" s="2">
        <f t="shared" si="6"/>
        <v>0.0001273526906</v>
      </c>
      <c r="M800" s="2">
        <f t="shared" si="7"/>
        <v>0.1476017685</v>
      </c>
      <c r="N800" s="2">
        <f t="shared" si="8"/>
        <v>0.02752539155</v>
      </c>
      <c r="O800" s="2"/>
      <c r="P800" s="2"/>
      <c r="Q800" s="2"/>
      <c r="R800" s="4"/>
    </row>
    <row r="801" ht="14.25" customHeight="1">
      <c r="K801" s="2">
        <v>0.00799</v>
      </c>
      <c r="L801" s="2">
        <f t="shared" si="6"/>
        <v>0.0001276720499</v>
      </c>
      <c r="M801" s="2">
        <f t="shared" si="7"/>
        <v>0.1479719059</v>
      </c>
      <c r="N801" s="2">
        <f t="shared" si="8"/>
        <v>0.02756876464</v>
      </c>
      <c r="O801" s="2"/>
      <c r="P801" s="2"/>
      <c r="Q801" s="2"/>
      <c r="R801" s="4"/>
    </row>
    <row r="802" ht="14.25" customHeight="1">
      <c r="K802" s="2">
        <v>0.008</v>
      </c>
      <c r="L802" s="2">
        <f t="shared" si="6"/>
        <v>0.000127991809</v>
      </c>
      <c r="M802" s="2">
        <f t="shared" si="7"/>
        <v>0.1483425067</v>
      </c>
      <c r="N802" s="2">
        <f t="shared" si="8"/>
        <v>0.02761217109</v>
      </c>
      <c r="O802" s="2"/>
      <c r="P802" s="2"/>
      <c r="Q802" s="2"/>
      <c r="R802" s="4"/>
    </row>
    <row r="803" ht="14.25" customHeight="1">
      <c r="K803" s="2">
        <v>0.00801</v>
      </c>
      <c r="L803" s="2">
        <f t="shared" si="6"/>
        <v>0.000128311968</v>
      </c>
      <c r="M803" s="2">
        <f t="shared" si="7"/>
        <v>0.1487135709</v>
      </c>
      <c r="N803" s="2">
        <f t="shared" si="8"/>
        <v>0.02765561093</v>
      </c>
      <c r="O803" s="2"/>
      <c r="P803" s="2"/>
      <c r="Q803" s="2"/>
      <c r="R803" s="4"/>
    </row>
    <row r="804" ht="14.25" customHeight="1">
      <c r="K804" s="2">
        <v>0.00802</v>
      </c>
      <c r="L804" s="2">
        <f t="shared" si="6"/>
        <v>0.0001286325268</v>
      </c>
      <c r="M804" s="2">
        <f t="shared" si="7"/>
        <v>0.1490850986</v>
      </c>
      <c r="N804" s="2">
        <f t="shared" si="8"/>
        <v>0.02769908421</v>
      </c>
      <c r="O804" s="2"/>
      <c r="P804" s="2"/>
      <c r="Q804" s="2"/>
      <c r="R804" s="4"/>
    </row>
    <row r="805" ht="14.25" customHeight="1">
      <c r="K805" s="2">
        <v>0.00803</v>
      </c>
      <c r="L805" s="2">
        <f t="shared" si="6"/>
        <v>0.0001289534855</v>
      </c>
      <c r="M805" s="2">
        <f t="shared" si="7"/>
        <v>0.1494570897</v>
      </c>
      <c r="N805" s="2">
        <f t="shared" si="8"/>
        <v>0.02774259097</v>
      </c>
      <c r="O805" s="2"/>
      <c r="P805" s="2"/>
      <c r="Q805" s="2"/>
      <c r="R805" s="4"/>
    </row>
    <row r="806" ht="14.25" customHeight="1">
      <c r="K806" s="2">
        <v>0.00804</v>
      </c>
      <c r="L806" s="2">
        <f t="shared" si="6"/>
        <v>0.000129274844</v>
      </c>
      <c r="M806" s="2">
        <f t="shared" si="7"/>
        <v>0.1498295442</v>
      </c>
      <c r="N806" s="2">
        <f t="shared" si="8"/>
        <v>0.02778613125</v>
      </c>
      <c r="O806" s="2"/>
      <c r="P806" s="2"/>
      <c r="Q806" s="2"/>
      <c r="R806" s="4"/>
    </row>
    <row r="807" ht="14.25" customHeight="1">
      <c r="K807" s="2">
        <v>0.00805</v>
      </c>
      <c r="L807" s="2">
        <f t="shared" si="6"/>
        <v>0.0001295966024</v>
      </c>
      <c r="M807" s="2">
        <f t="shared" si="7"/>
        <v>0.1502024621</v>
      </c>
      <c r="N807" s="2">
        <f t="shared" si="8"/>
        <v>0.02782970509</v>
      </c>
      <c r="O807" s="2"/>
      <c r="P807" s="2"/>
      <c r="Q807" s="2"/>
      <c r="R807" s="4"/>
    </row>
    <row r="808" ht="14.25" customHeight="1">
      <c r="K808" s="2">
        <v>0.00806</v>
      </c>
      <c r="L808" s="2">
        <f t="shared" si="6"/>
        <v>0.0001299187606</v>
      </c>
      <c r="M808" s="2">
        <f t="shared" si="7"/>
        <v>0.1505758435</v>
      </c>
      <c r="N808" s="2">
        <f t="shared" si="8"/>
        <v>0.02787331254</v>
      </c>
      <c r="O808" s="2"/>
      <c r="P808" s="2"/>
      <c r="Q808" s="2"/>
      <c r="R808" s="4"/>
    </row>
    <row r="809" ht="14.25" customHeight="1">
      <c r="K809" s="2">
        <v>0.00807</v>
      </c>
      <c r="L809" s="2">
        <f t="shared" si="6"/>
        <v>0.0001302413186</v>
      </c>
      <c r="M809" s="2">
        <f t="shared" si="7"/>
        <v>0.1509496883</v>
      </c>
      <c r="N809" s="2">
        <f t="shared" si="8"/>
        <v>0.02791695364</v>
      </c>
      <c r="O809" s="2"/>
      <c r="P809" s="2"/>
      <c r="Q809" s="2"/>
      <c r="R809" s="4"/>
    </row>
    <row r="810" ht="14.25" customHeight="1">
      <c r="K810" s="2">
        <v>0.00808</v>
      </c>
      <c r="L810" s="2">
        <f t="shared" si="6"/>
        <v>0.0001305642765</v>
      </c>
      <c r="M810" s="2">
        <f t="shared" si="7"/>
        <v>0.1513239964</v>
      </c>
      <c r="N810" s="2">
        <f t="shared" si="8"/>
        <v>0.02796062842</v>
      </c>
      <c r="O810" s="2"/>
      <c r="P810" s="2"/>
      <c r="Q810" s="2"/>
      <c r="R810" s="4"/>
    </row>
    <row r="811" ht="14.25" customHeight="1">
      <c r="K811" s="2">
        <v>0.00809</v>
      </c>
      <c r="L811" s="2">
        <f t="shared" si="6"/>
        <v>0.0001308876342</v>
      </c>
      <c r="M811" s="2">
        <f t="shared" si="7"/>
        <v>0.1516987681</v>
      </c>
      <c r="N811" s="2">
        <f t="shared" si="8"/>
        <v>0.02800433693</v>
      </c>
      <c r="O811" s="2"/>
      <c r="P811" s="2"/>
      <c r="Q811" s="2"/>
      <c r="R811" s="4"/>
    </row>
    <row r="812" ht="14.25" customHeight="1">
      <c r="K812" s="2">
        <v>0.0081</v>
      </c>
      <c r="L812" s="2">
        <f t="shared" si="6"/>
        <v>0.0001312113918</v>
      </c>
      <c r="M812" s="2">
        <f t="shared" si="7"/>
        <v>0.1520740031</v>
      </c>
      <c r="N812" s="2">
        <f t="shared" si="8"/>
        <v>0.02804807922</v>
      </c>
      <c r="O812" s="2"/>
      <c r="P812" s="2"/>
      <c r="Q812" s="2"/>
      <c r="R812" s="4"/>
    </row>
    <row r="813" ht="14.25" customHeight="1">
      <c r="K813" s="2">
        <v>0.00811</v>
      </c>
      <c r="L813" s="2">
        <f t="shared" si="6"/>
        <v>0.0001315355492</v>
      </c>
      <c r="M813" s="2">
        <f t="shared" si="7"/>
        <v>0.1524497015</v>
      </c>
      <c r="N813" s="2">
        <f t="shared" si="8"/>
        <v>0.02809185531</v>
      </c>
      <c r="O813" s="2"/>
      <c r="P813" s="2"/>
      <c r="Q813" s="2"/>
      <c r="R813" s="4"/>
    </row>
    <row r="814" ht="14.25" customHeight="1">
      <c r="K814" s="2">
        <v>0.00812</v>
      </c>
      <c r="L814" s="2">
        <f t="shared" si="6"/>
        <v>0.0001318601065</v>
      </c>
      <c r="M814" s="2">
        <f t="shared" si="7"/>
        <v>0.1528258634</v>
      </c>
      <c r="N814" s="2">
        <f t="shared" si="8"/>
        <v>0.02813566527</v>
      </c>
      <c r="O814" s="2"/>
      <c r="P814" s="2"/>
      <c r="Q814" s="2"/>
      <c r="R814" s="4"/>
    </row>
    <row r="815" ht="14.25" customHeight="1">
      <c r="K815" s="2">
        <v>0.00813</v>
      </c>
      <c r="L815" s="2">
        <f t="shared" si="6"/>
        <v>0.0001321850636</v>
      </c>
      <c r="M815" s="2">
        <f t="shared" si="7"/>
        <v>0.1532024887</v>
      </c>
      <c r="N815" s="2">
        <f t="shared" si="8"/>
        <v>0.02817950911</v>
      </c>
      <c r="O815" s="2"/>
      <c r="P815" s="2"/>
      <c r="Q815" s="2"/>
      <c r="R815" s="4"/>
    </row>
    <row r="816" ht="14.25" customHeight="1">
      <c r="K816" s="2">
        <v>0.00814</v>
      </c>
      <c r="L816" s="2">
        <f t="shared" si="6"/>
        <v>0.0001325104205</v>
      </c>
      <c r="M816" s="2">
        <f t="shared" si="7"/>
        <v>0.1535795774</v>
      </c>
      <c r="N816" s="2">
        <f t="shared" si="8"/>
        <v>0.0282233869</v>
      </c>
      <c r="O816" s="2"/>
      <c r="P816" s="2"/>
      <c r="Q816" s="2"/>
      <c r="R816" s="4"/>
    </row>
    <row r="817" ht="14.25" customHeight="1">
      <c r="K817" s="2">
        <v>0.00815</v>
      </c>
      <c r="L817" s="2">
        <f t="shared" si="6"/>
        <v>0.0001328361773</v>
      </c>
      <c r="M817" s="2">
        <f t="shared" si="7"/>
        <v>0.1539571295</v>
      </c>
      <c r="N817" s="2">
        <f t="shared" si="8"/>
        <v>0.02826729867</v>
      </c>
      <c r="O817" s="2"/>
      <c r="P817" s="2"/>
      <c r="Q817" s="2"/>
      <c r="R817" s="4"/>
    </row>
    <row r="818" ht="14.25" customHeight="1">
      <c r="K818" s="2">
        <v>0.00816</v>
      </c>
      <c r="L818" s="2">
        <f t="shared" si="6"/>
        <v>0.0001331623339</v>
      </c>
      <c r="M818" s="2">
        <f t="shared" si="7"/>
        <v>0.154335145</v>
      </c>
      <c r="N818" s="2">
        <f t="shared" si="8"/>
        <v>0.02831124446</v>
      </c>
      <c r="O818" s="2"/>
      <c r="P818" s="2"/>
      <c r="Q818" s="2"/>
      <c r="R818" s="4"/>
    </row>
    <row r="819" ht="14.25" customHeight="1">
      <c r="K819" s="2">
        <v>0.00817</v>
      </c>
      <c r="L819" s="2">
        <f t="shared" si="6"/>
        <v>0.0001334888904</v>
      </c>
      <c r="M819" s="2">
        <f t="shared" si="7"/>
        <v>0.1547136239</v>
      </c>
      <c r="N819" s="2">
        <f t="shared" si="8"/>
        <v>0.02835522431</v>
      </c>
      <c r="O819" s="2"/>
      <c r="P819" s="2"/>
      <c r="Q819" s="2"/>
      <c r="R819" s="4"/>
    </row>
    <row r="820" ht="14.25" customHeight="1">
      <c r="K820" s="2">
        <v>0.00818</v>
      </c>
      <c r="L820" s="2">
        <f t="shared" si="6"/>
        <v>0.0001338158467</v>
      </c>
      <c r="M820" s="2">
        <f t="shared" si="7"/>
        <v>0.1550925663</v>
      </c>
      <c r="N820" s="2">
        <f t="shared" si="8"/>
        <v>0.02839923826</v>
      </c>
      <c r="O820" s="2"/>
      <c r="P820" s="2"/>
      <c r="Q820" s="2"/>
      <c r="R820" s="4"/>
    </row>
    <row r="821" ht="14.25" customHeight="1">
      <c r="K821" s="2">
        <v>0.00819</v>
      </c>
      <c r="L821" s="2">
        <f t="shared" si="6"/>
        <v>0.0001341432028</v>
      </c>
      <c r="M821" s="2">
        <f t="shared" si="7"/>
        <v>0.155471972</v>
      </c>
      <c r="N821" s="2">
        <f t="shared" si="8"/>
        <v>0.02844328637</v>
      </c>
      <c r="O821" s="2"/>
      <c r="P821" s="2"/>
      <c r="Q821" s="2"/>
      <c r="R821" s="4"/>
    </row>
    <row r="822" ht="14.25" customHeight="1">
      <c r="K822" s="2">
        <v>0.0082</v>
      </c>
      <c r="L822" s="2">
        <f t="shared" si="6"/>
        <v>0.0001344709588</v>
      </c>
      <c r="M822" s="2">
        <f t="shared" si="7"/>
        <v>0.1558518412</v>
      </c>
      <c r="N822" s="2">
        <f t="shared" si="8"/>
        <v>0.02848736866</v>
      </c>
      <c r="O822" s="2"/>
      <c r="P822" s="2"/>
      <c r="Q822" s="2"/>
      <c r="R822" s="4"/>
    </row>
    <row r="823" ht="14.25" customHeight="1">
      <c r="K823" s="2">
        <v>0.00821</v>
      </c>
      <c r="L823" s="2">
        <f t="shared" si="6"/>
        <v>0.0001347991146</v>
      </c>
      <c r="M823" s="2">
        <f t="shared" si="7"/>
        <v>0.1562321738</v>
      </c>
      <c r="N823" s="2">
        <f t="shared" si="8"/>
        <v>0.02853148518</v>
      </c>
      <c r="O823" s="2"/>
      <c r="P823" s="2"/>
      <c r="Q823" s="2"/>
      <c r="R823" s="4"/>
    </row>
    <row r="824" ht="14.25" customHeight="1">
      <c r="K824" s="2">
        <v>0.00822</v>
      </c>
      <c r="L824" s="2">
        <f t="shared" si="6"/>
        <v>0.0001351276703</v>
      </c>
      <c r="M824" s="2">
        <f t="shared" si="7"/>
        <v>0.1566129698</v>
      </c>
      <c r="N824" s="2">
        <f t="shared" si="8"/>
        <v>0.02857563597</v>
      </c>
      <c r="O824" s="2"/>
      <c r="P824" s="2"/>
      <c r="Q824" s="2"/>
      <c r="R824" s="4"/>
    </row>
    <row r="825" ht="14.25" customHeight="1">
      <c r="K825" s="2">
        <v>0.00823</v>
      </c>
      <c r="L825" s="2">
        <f t="shared" si="6"/>
        <v>0.0001354566258</v>
      </c>
      <c r="M825" s="2">
        <f t="shared" si="7"/>
        <v>0.1569942292</v>
      </c>
      <c r="N825" s="2">
        <f t="shared" si="8"/>
        <v>0.02861982108</v>
      </c>
      <c r="O825" s="2"/>
      <c r="P825" s="2"/>
      <c r="Q825" s="2"/>
      <c r="R825" s="4"/>
    </row>
    <row r="826" ht="14.25" customHeight="1">
      <c r="K826" s="2">
        <v>0.00824</v>
      </c>
      <c r="L826" s="2">
        <f t="shared" si="6"/>
        <v>0.0001357859811</v>
      </c>
      <c r="M826" s="2">
        <f t="shared" si="7"/>
        <v>0.1573759521</v>
      </c>
      <c r="N826" s="2">
        <f t="shared" si="8"/>
        <v>0.02866404054</v>
      </c>
      <c r="O826" s="2"/>
      <c r="P826" s="2"/>
      <c r="Q826" s="2"/>
      <c r="R826" s="4"/>
    </row>
    <row r="827" ht="14.25" customHeight="1">
      <c r="K827" s="2">
        <v>0.00825</v>
      </c>
      <c r="L827" s="2">
        <f t="shared" si="6"/>
        <v>0.0001361157363</v>
      </c>
      <c r="M827" s="2">
        <f t="shared" si="7"/>
        <v>0.1577581383</v>
      </c>
      <c r="N827" s="2">
        <f t="shared" si="8"/>
        <v>0.02870829439</v>
      </c>
      <c r="O827" s="2"/>
      <c r="P827" s="2"/>
      <c r="Q827" s="2"/>
      <c r="R827" s="4"/>
    </row>
    <row r="828" ht="14.25" customHeight="1">
      <c r="K828" s="2">
        <v>0.00826</v>
      </c>
      <c r="L828" s="2">
        <f t="shared" si="6"/>
        <v>0.0001364458913</v>
      </c>
      <c r="M828" s="2">
        <f t="shared" si="7"/>
        <v>0.158140788</v>
      </c>
      <c r="N828" s="2">
        <f t="shared" si="8"/>
        <v>0.02875258269</v>
      </c>
      <c r="O828" s="2"/>
      <c r="P828" s="2"/>
      <c r="Q828" s="2"/>
      <c r="R828" s="4"/>
    </row>
    <row r="829" ht="14.25" customHeight="1">
      <c r="K829" s="2">
        <v>0.00827</v>
      </c>
      <c r="L829" s="2">
        <f t="shared" si="6"/>
        <v>0.0001367764461</v>
      </c>
      <c r="M829" s="2">
        <f t="shared" si="7"/>
        <v>0.158523901</v>
      </c>
      <c r="N829" s="2">
        <f t="shared" si="8"/>
        <v>0.02879690547</v>
      </c>
      <c r="O829" s="2"/>
      <c r="P829" s="2"/>
      <c r="Q829" s="2"/>
      <c r="R829" s="4"/>
    </row>
    <row r="830" ht="14.25" customHeight="1">
      <c r="K830" s="2">
        <v>0.00828</v>
      </c>
      <c r="L830" s="2">
        <f t="shared" si="6"/>
        <v>0.0001371074008</v>
      </c>
      <c r="M830" s="2">
        <f t="shared" si="7"/>
        <v>0.1589074775</v>
      </c>
      <c r="N830" s="2">
        <f t="shared" si="8"/>
        <v>0.02884126276</v>
      </c>
      <c r="O830" s="2"/>
      <c r="P830" s="2"/>
      <c r="Q830" s="2"/>
      <c r="R830" s="4"/>
    </row>
    <row r="831" ht="14.25" customHeight="1">
      <c r="K831" s="2">
        <v>0.00829</v>
      </c>
      <c r="L831" s="2">
        <f t="shared" si="6"/>
        <v>0.0001374387553</v>
      </c>
      <c r="M831" s="2">
        <f t="shared" si="7"/>
        <v>0.1592915174</v>
      </c>
      <c r="N831" s="2">
        <f t="shared" si="8"/>
        <v>0.02888565462</v>
      </c>
      <c r="O831" s="2"/>
      <c r="P831" s="2"/>
      <c r="Q831" s="2"/>
      <c r="R831" s="4"/>
    </row>
    <row r="832" ht="14.25" customHeight="1">
      <c r="K832" s="2">
        <v>0.0083</v>
      </c>
      <c r="L832" s="2">
        <f t="shared" si="6"/>
        <v>0.0001377705096</v>
      </c>
      <c r="M832" s="2">
        <f t="shared" si="7"/>
        <v>0.1596760207</v>
      </c>
      <c r="N832" s="2">
        <f t="shared" si="8"/>
        <v>0.02893008109</v>
      </c>
      <c r="O832" s="2"/>
      <c r="P832" s="2"/>
      <c r="Q832" s="2"/>
      <c r="R832" s="4"/>
    </row>
    <row r="833" ht="14.25" customHeight="1">
      <c r="K833" s="2">
        <v>0.00831</v>
      </c>
      <c r="L833" s="2">
        <f t="shared" si="6"/>
        <v>0.0001381026638</v>
      </c>
      <c r="M833" s="2">
        <f t="shared" si="7"/>
        <v>0.1600609874</v>
      </c>
      <c r="N833" s="2">
        <f t="shared" si="8"/>
        <v>0.0289745422</v>
      </c>
      <c r="O833" s="2"/>
      <c r="P833" s="2"/>
      <c r="Q833" s="2"/>
      <c r="R833" s="4"/>
    </row>
    <row r="834" ht="14.25" customHeight="1">
      <c r="K834" s="2">
        <v>0.00832</v>
      </c>
      <c r="L834" s="2">
        <f t="shared" si="6"/>
        <v>0.0001384352178</v>
      </c>
      <c r="M834" s="2">
        <f t="shared" si="7"/>
        <v>0.1604464175</v>
      </c>
      <c r="N834" s="2">
        <f t="shared" si="8"/>
        <v>0.02901903801</v>
      </c>
      <c r="O834" s="2"/>
      <c r="P834" s="2"/>
      <c r="Q834" s="2"/>
      <c r="R834" s="4"/>
    </row>
    <row r="835" ht="14.25" customHeight="1">
      <c r="K835" s="2">
        <v>0.00833</v>
      </c>
      <c r="L835" s="2">
        <f t="shared" si="6"/>
        <v>0.0001387681717</v>
      </c>
      <c r="M835" s="2">
        <f t="shared" si="7"/>
        <v>0.160832311</v>
      </c>
      <c r="N835" s="2">
        <f t="shared" si="8"/>
        <v>0.02906356854</v>
      </c>
      <c r="O835" s="2"/>
      <c r="P835" s="2"/>
      <c r="Q835" s="2"/>
      <c r="R835" s="4"/>
    </row>
    <row r="836" ht="14.25" customHeight="1">
      <c r="K836" s="2">
        <v>0.00834</v>
      </c>
      <c r="L836" s="2">
        <f t="shared" si="6"/>
        <v>0.0001391015254</v>
      </c>
      <c r="M836" s="2">
        <f t="shared" si="7"/>
        <v>0.1612186679</v>
      </c>
      <c r="N836" s="2">
        <f t="shared" si="8"/>
        <v>0.02910813384</v>
      </c>
      <c r="O836" s="2"/>
      <c r="P836" s="2"/>
      <c r="Q836" s="2"/>
      <c r="R836" s="4"/>
    </row>
    <row r="837" ht="14.25" customHeight="1">
      <c r="K837" s="2">
        <v>0.00835</v>
      </c>
      <c r="L837" s="2">
        <f t="shared" si="6"/>
        <v>0.0001394352789</v>
      </c>
      <c r="M837" s="2">
        <f t="shared" si="7"/>
        <v>0.1616054882</v>
      </c>
      <c r="N837" s="2">
        <f t="shared" si="8"/>
        <v>0.02915273396</v>
      </c>
      <c r="O837" s="2"/>
      <c r="P837" s="2"/>
      <c r="Q837" s="2"/>
      <c r="R837" s="4"/>
    </row>
    <row r="838" ht="14.25" customHeight="1">
      <c r="K838" s="2">
        <v>0.00836</v>
      </c>
      <c r="L838" s="2">
        <f t="shared" si="6"/>
        <v>0.0001397694323</v>
      </c>
      <c r="M838" s="2">
        <f t="shared" si="7"/>
        <v>0.161992772</v>
      </c>
      <c r="N838" s="2">
        <f t="shared" si="8"/>
        <v>0.02919736893</v>
      </c>
      <c r="O838" s="2"/>
      <c r="P838" s="2"/>
      <c r="Q838" s="2"/>
      <c r="R838" s="4"/>
    </row>
    <row r="839" ht="14.25" customHeight="1">
      <c r="K839" s="2">
        <v>0.00837</v>
      </c>
      <c r="L839" s="2">
        <f t="shared" si="6"/>
        <v>0.0001401039854</v>
      </c>
      <c r="M839" s="2">
        <f t="shared" si="7"/>
        <v>0.1623805191</v>
      </c>
      <c r="N839" s="2">
        <f t="shared" si="8"/>
        <v>0.0292420388</v>
      </c>
      <c r="O839" s="2"/>
      <c r="P839" s="2"/>
      <c r="Q839" s="2"/>
      <c r="R839" s="4"/>
    </row>
    <row r="840" ht="14.25" customHeight="1">
      <c r="K840" s="2">
        <v>0.00838</v>
      </c>
      <c r="L840" s="2">
        <f t="shared" si="6"/>
        <v>0.0001404389385</v>
      </c>
      <c r="M840" s="2">
        <f t="shared" si="7"/>
        <v>0.1627687297</v>
      </c>
      <c r="N840" s="2">
        <f t="shared" si="8"/>
        <v>0.02928674361</v>
      </c>
      <c r="O840" s="2"/>
      <c r="P840" s="2"/>
      <c r="Q840" s="2"/>
      <c r="R840" s="4"/>
    </row>
    <row r="841" ht="14.25" customHeight="1">
      <c r="K841" s="2">
        <v>0.00839</v>
      </c>
      <c r="L841" s="2">
        <f t="shared" si="6"/>
        <v>0.0001407742913</v>
      </c>
      <c r="M841" s="2">
        <f t="shared" si="7"/>
        <v>0.1631574036</v>
      </c>
      <c r="N841" s="2">
        <f t="shared" si="8"/>
        <v>0.0293314834</v>
      </c>
      <c r="O841" s="2"/>
      <c r="P841" s="2"/>
      <c r="Q841" s="2"/>
      <c r="R841" s="4"/>
    </row>
    <row r="842" ht="14.25" customHeight="1">
      <c r="K842" s="2">
        <v>0.0084</v>
      </c>
      <c r="L842" s="2">
        <f t="shared" si="6"/>
        <v>0.000141110044</v>
      </c>
      <c r="M842" s="2">
        <f t="shared" si="7"/>
        <v>0.163546541</v>
      </c>
      <c r="N842" s="2">
        <f t="shared" si="8"/>
        <v>0.02937625821</v>
      </c>
      <c r="O842" s="2"/>
      <c r="P842" s="2"/>
      <c r="Q842" s="2"/>
      <c r="R842" s="4"/>
    </row>
    <row r="843" ht="14.25" customHeight="1">
      <c r="K843" s="2">
        <v>0.00841</v>
      </c>
      <c r="L843" s="2">
        <f t="shared" si="6"/>
        <v>0.0001414461965</v>
      </c>
      <c r="M843" s="2">
        <f t="shared" si="7"/>
        <v>0.1639361417</v>
      </c>
      <c r="N843" s="2">
        <f t="shared" si="8"/>
        <v>0.02942106808</v>
      </c>
      <c r="O843" s="2"/>
      <c r="P843" s="2"/>
      <c r="Q843" s="2"/>
      <c r="R843" s="4"/>
    </row>
    <row r="844" ht="14.25" customHeight="1">
      <c r="K844" s="2">
        <v>0.00842</v>
      </c>
      <c r="L844" s="2">
        <f t="shared" si="6"/>
        <v>0.0001417827488</v>
      </c>
      <c r="M844" s="2">
        <f t="shared" si="7"/>
        <v>0.1643262059</v>
      </c>
      <c r="N844" s="2">
        <f t="shared" si="8"/>
        <v>0.02946591306</v>
      </c>
      <c r="O844" s="2"/>
      <c r="P844" s="2"/>
      <c r="Q844" s="2"/>
      <c r="R844" s="4"/>
    </row>
    <row r="845" ht="14.25" customHeight="1">
      <c r="K845" s="2">
        <v>0.00843</v>
      </c>
      <c r="L845" s="2">
        <f t="shared" si="6"/>
        <v>0.000142119701</v>
      </c>
      <c r="M845" s="2">
        <f t="shared" si="7"/>
        <v>0.1647167335</v>
      </c>
      <c r="N845" s="2">
        <f t="shared" si="8"/>
        <v>0.02951079319</v>
      </c>
      <c r="O845" s="2"/>
      <c r="P845" s="2"/>
      <c r="Q845" s="2"/>
      <c r="R845" s="4"/>
    </row>
    <row r="846" ht="14.25" customHeight="1">
      <c r="K846" s="2">
        <v>0.00844</v>
      </c>
      <c r="L846" s="2">
        <f t="shared" si="6"/>
        <v>0.000142457053</v>
      </c>
      <c r="M846" s="2">
        <f t="shared" si="7"/>
        <v>0.1651077244</v>
      </c>
      <c r="N846" s="2">
        <f t="shared" si="8"/>
        <v>0.0295557085</v>
      </c>
      <c r="O846" s="2"/>
      <c r="P846" s="2"/>
      <c r="Q846" s="2"/>
      <c r="R846" s="4"/>
    </row>
    <row r="847" ht="14.25" customHeight="1">
      <c r="K847" s="2">
        <v>0.00845</v>
      </c>
      <c r="L847" s="2">
        <f t="shared" si="6"/>
        <v>0.0001427948048</v>
      </c>
      <c r="M847" s="2">
        <f t="shared" si="7"/>
        <v>0.1654991788</v>
      </c>
      <c r="N847" s="2">
        <f t="shared" si="8"/>
        <v>0.02960065905</v>
      </c>
      <c r="O847" s="2"/>
      <c r="P847" s="2"/>
      <c r="Q847" s="2"/>
      <c r="R847" s="4"/>
    </row>
    <row r="848" ht="14.25" customHeight="1">
      <c r="K848" s="2">
        <v>0.00846</v>
      </c>
      <c r="L848" s="2">
        <f t="shared" si="6"/>
        <v>0.0001431329565</v>
      </c>
      <c r="M848" s="2">
        <f t="shared" si="7"/>
        <v>0.1658910966</v>
      </c>
      <c r="N848" s="2">
        <f t="shared" si="8"/>
        <v>0.02964564487</v>
      </c>
      <c r="O848" s="2"/>
      <c r="P848" s="2"/>
      <c r="Q848" s="2"/>
      <c r="R848" s="4"/>
    </row>
    <row r="849" ht="14.25" customHeight="1">
      <c r="K849" s="2">
        <v>0.00847</v>
      </c>
      <c r="L849" s="2">
        <f t="shared" si="6"/>
        <v>0.000143471508</v>
      </c>
      <c r="M849" s="2">
        <f t="shared" si="7"/>
        <v>0.1662834777</v>
      </c>
      <c r="N849" s="2">
        <f t="shared" si="8"/>
        <v>0.029690666</v>
      </c>
      <c r="O849" s="2"/>
      <c r="P849" s="2"/>
      <c r="Q849" s="2"/>
      <c r="R849" s="4"/>
    </row>
    <row r="850" ht="14.25" customHeight="1">
      <c r="K850" s="2">
        <v>0.00848</v>
      </c>
      <c r="L850" s="2">
        <f t="shared" si="6"/>
        <v>0.0001438104593</v>
      </c>
      <c r="M850" s="2">
        <f t="shared" si="7"/>
        <v>0.1666763223</v>
      </c>
      <c r="N850" s="2">
        <f t="shared" si="8"/>
        <v>0.02973572249</v>
      </c>
      <c r="O850" s="2"/>
      <c r="P850" s="2"/>
      <c r="Q850" s="2"/>
      <c r="R850" s="4"/>
    </row>
    <row r="851" ht="14.25" customHeight="1">
      <c r="K851" s="2">
        <v>0.00849</v>
      </c>
      <c r="L851" s="2">
        <f t="shared" si="6"/>
        <v>0.0001441498104</v>
      </c>
      <c r="M851" s="2">
        <f t="shared" si="7"/>
        <v>0.1670696303</v>
      </c>
      <c r="N851" s="2">
        <f t="shared" si="8"/>
        <v>0.02978081437</v>
      </c>
      <c r="O851" s="2"/>
      <c r="P851" s="2"/>
      <c r="Q851" s="2"/>
      <c r="R851" s="4"/>
    </row>
    <row r="852" ht="14.25" customHeight="1">
      <c r="K852" s="2">
        <v>0.0085</v>
      </c>
      <c r="L852" s="2">
        <f t="shared" si="6"/>
        <v>0.0001444895614</v>
      </c>
      <c r="M852" s="2">
        <f t="shared" si="7"/>
        <v>0.1674634016</v>
      </c>
      <c r="N852" s="2">
        <f t="shared" si="8"/>
        <v>0.02982594169</v>
      </c>
      <c r="O852" s="2"/>
      <c r="P852" s="2"/>
      <c r="Q852" s="2"/>
      <c r="R852" s="4"/>
    </row>
    <row r="853" ht="14.25" customHeight="1">
      <c r="K853" s="2">
        <v>0.00851</v>
      </c>
      <c r="L853" s="2">
        <f t="shared" si="6"/>
        <v>0.0001448297122</v>
      </c>
      <c r="M853" s="2">
        <f t="shared" si="7"/>
        <v>0.1678576364</v>
      </c>
      <c r="N853" s="2">
        <f t="shared" si="8"/>
        <v>0.0298711045</v>
      </c>
      <c r="O853" s="2"/>
      <c r="P853" s="2"/>
      <c r="Q853" s="2"/>
      <c r="R853" s="4"/>
    </row>
    <row r="854" ht="14.25" customHeight="1">
      <c r="K854" s="2">
        <v>0.00852</v>
      </c>
      <c r="L854" s="2">
        <f t="shared" si="6"/>
        <v>0.0001451702628</v>
      </c>
      <c r="M854" s="2">
        <f t="shared" si="7"/>
        <v>0.1682523346</v>
      </c>
      <c r="N854" s="2">
        <f t="shared" si="8"/>
        <v>0.02991630282</v>
      </c>
      <c r="O854" s="2"/>
      <c r="P854" s="2"/>
      <c r="Q854" s="2"/>
      <c r="R854" s="4"/>
    </row>
    <row r="855" ht="14.25" customHeight="1">
      <c r="K855" s="2">
        <v>0.00853</v>
      </c>
      <c r="L855" s="2">
        <f t="shared" si="6"/>
        <v>0.0001455112132</v>
      </c>
      <c r="M855" s="2">
        <f t="shared" si="7"/>
        <v>0.1686474961</v>
      </c>
      <c r="N855" s="2">
        <f t="shared" si="8"/>
        <v>0.02996153671</v>
      </c>
      <c r="O855" s="2"/>
      <c r="P855" s="2"/>
      <c r="Q855" s="2"/>
      <c r="R855" s="4"/>
    </row>
    <row r="856" ht="14.25" customHeight="1">
      <c r="K856" s="2">
        <v>0.00854</v>
      </c>
      <c r="L856" s="2">
        <f t="shared" si="6"/>
        <v>0.0001458525635</v>
      </c>
      <c r="M856" s="2">
        <f t="shared" si="7"/>
        <v>0.1690431211</v>
      </c>
      <c r="N856" s="2">
        <f t="shared" si="8"/>
        <v>0.03000680621</v>
      </c>
      <c r="O856" s="2"/>
      <c r="P856" s="2"/>
      <c r="Q856" s="2"/>
      <c r="R856" s="4"/>
    </row>
    <row r="857" ht="14.25" customHeight="1">
      <c r="K857" s="2">
        <v>0.00855</v>
      </c>
      <c r="L857" s="2">
        <f t="shared" si="6"/>
        <v>0.0001461943136</v>
      </c>
      <c r="M857" s="2">
        <f t="shared" si="7"/>
        <v>0.1694392095</v>
      </c>
      <c r="N857" s="2">
        <f t="shared" si="8"/>
        <v>0.03005211135</v>
      </c>
      <c r="O857" s="2"/>
      <c r="P857" s="2"/>
      <c r="Q857" s="2"/>
      <c r="R857" s="4"/>
    </row>
    <row r="858" ht="14.25" customHeight="1">
      <c r="K858" s="2">
        <v>0.00856</v>
      </c>
      <c r="L858" s="2">
        <f t="shared" si="6"/>
        <v>0.0001465364635</v>
      </c>
      <c r="M858" s="2">
        <f t="shared" si="7"/>
        <v>0.1698357612</v>
      </c>
      <c r="N858" s="2">
        <f t="shared" si="8"/>
        <v>0.03009745218</v>
      </c>
      <c r="O858" s="2"/>
      <c r="P858" s="2"/>
      <c r="Q858" s="2"/>
      <c r="R858" s="4"/>
    </row>
    <row r="859" ht="14.25" customHeight="1">
      <c r="K859" s="2">
        <v>0.00857</v>
      </c>
      <c r="L859" s="2">
        <f t="shared" si="6"/>
        <v>0.0001468790133</v>
      </c>
      <c r="M859" s="2">
        <f t="shared" si="7"/>
        <v>0.1702327764</v>
      </c>
      <c r="N859" s="2">
        <f t="shared" si="8"/>
        <v>0.03014282874</v>
      </c>
      <c r="O859" s="2"/>
      <c r="P859" s="2"/>
      <c r="Q859" s="2"/>
      <c r="R859" s="4"/>
    </row>
    <row r="860" ht="14.25" customHeight="1">
      <c r="K860" s="2">
        <v>0.00858</v>
      </c>
      <c r="L860" s="2">
        <f t="shared" si="6"/>
        <v>0.0001472219628</v>
      </c>
      <c r="M860" s="2">
        <f t="shared" si="7"/>
        <v>0.1706302549</v>
      </c>
      <c r="N860" s="2">
        <f t="shared" si="8"/>
        <v>0.03018824108</v>
      </c>
      <c r="O860" s="2"/>
      <c r="P860" s="2"/>
      <c r="Q860" s="2"/>
      <c r="R860" s="4"/>
    </row>
    <row r="861" ht="14.25" customHeight="1">
      <c r="K861" s="2">
        <v>0.00859</v>
      </c>
      <c r="L861" s="2">
        <f t="shared" si="6"/>
        <v>0.0001475653122</v>
      </c>
      <c r="M861" s="2">
        <f t="shared" si="7"/>
        <v>0.1710281969</v>
      </c>
      <c r="N861" s="2">
        <f t="shared" si="8"/>
        <v>0.03023368922</v>
      </c>
      <c r="O861" s="2"/>
      <c r="P861" s="2"/>
      <c r="Q861" s="2"/>
      <c r="R861" s="4"/>
    </row>
    <row r="862" ht="14.25" customHeight="1">
      <c r="K862" s="2">
        <v>0.0086</v>
      </c>
      <c r="L862" s="2">
        <f t="shared" si="6"/>
        <v>0.0001479090615</v>
      </c>
      <c r="M862" s="2">
        <f t="shared" si="7"/>
        <v>0.1714266022</v>
      </c>
      <c r="N862" s="2">
        <f t="shared" si="8"/>
        <v>0.03027917323</v>
      </c>
      <c r="O862" s="2"/>
      <c r="P862" s="2"/>
      <c r="Q862" s="2"/>
      <c r="R862" s="4"/>
    </row>
    <row r="863" ht="14.25" customHeight="1">
      <c r="K863" s="2">
        <v>0.00861</v>
      </c>
      <c r="L863" s="2">
        <f t="shared" si="6"/>
        <v>0.0001482532105</v>
      </c>
      <c r="M863" s="2">
        <f t="shared" si="7"/>
        <v>0.171825471</v>
      </c>
      <c r="N863" s="2">
        <f t="shared" si="8"/>
        <v>0.03032469313</v>
      </c>
      <c r="O863" s="2"/>
      <c r="P863" s="2"/>
      <c r="Q863" s="2"/>
      <c r="R863" s="4"/>
    </row>
    <row r="864" ht="14.25" customHeight="1">
      <c r="K864" s="2">
        <v>0.00862</v>
      </c>
      <c r="L864" s="2">
        <f t="shared" si="6"/>
        <v>0.0001485977594</v>
      </c>
      <c r="M864" s="2">
        <f t="shared" si="7"/>
        <v>0.1722248031</v>
      </c>
      <c r="N864" s="2">
        <f t="shared" si="8"/>
        <v>0.03037024897</v>
      </c>
      <c r="O864" s="2"/>
      <c r="P864" s="2"/>
      <c r="Q864" s="2"/>
      <c r="R864" s="4"/>
    </row>
    <row r="865" ht="14.25" customHeight="1">
      <c r="K865" s="2">
        <v>0.00863</v>
      </c>
      <c r="L865" s="2">
        <f t="shared" si="6"/>
        <v>0.000148942708</v>
      </c>
      <c r="M865" s="2">
        <f t="shared" si="7"/>
        <v>0.1726245986</v>
      </c>
      <c r="N865" s="2">
        <f t="shared" si="8"/>
        <v>0.03041584079</v>
      </c>
      <c r="O865" s="2"/>
      <c r="P865" s="2"/>
      <c r="Q865" s="2"/>
      <c r="R865" s="4"/>
    </row>
    <row r="866" ht="14.25" customHeight="1">
      <c r="K866" s="2">
        <v>0.00864</v>
      </c>
      <c r="L866" s="2">
        <f t="shared" si="6"/>
        <v>0.0001492880565</v>
      </c>
      <c r="M866" s="2">
        <f t="shared" si="7"/>
        <v>0.1730248575</v>
      </c>
      <c r="N866" s="2">
        <f t="shared" si="8"/>
        <v>0.03046146863</v>
      </c>
      <c r="O866" s="2"/>
      <c r="P866" s="2"/>
      <c r="Q866" s="2"/>
      <c r="R866" s="4"/>
    </row>
    <row r="867" ht="14.25" customHeight="1">
      <c r="K867" s="2">
        <v>0.00865</v>
      </c>
      <c r="L867" s="2">
        <f t="shared" si="6"/>
        <v>0.0001496338049</v>
      </c>
      <c r="M867" s="2">
        <f t="shared" si="7"/>
        <v>0.1734255798</v>
      </c>
      <c r="N867" s="2">
        <f t="shared" si="8"/>
        <v>0.03050713254</v>
      </c>
      <c r="O867" s="2"/>
      <c r="P867" s="2"/>
      <c r="Q867" s="2"/>
      <c r="R867" s="4"/>
    </row>
    <row r="868" ht="14.25" customHeight="1">
      <c r="K868" s="2">
        <v>0.00866</v>
      </c>
      <c r="L868" s="2">
        <f t="shared" si="6"/>
        <v>0.000149979953</v>
      </c>
      <c r="M868" s="2">
        <f t="shared" si="7"/>
        <v>0.1738267655</v>
      </c>
      <c r="N868" s="2">
        <f t="shared" si="8"/>
        <v>0.03055283255</v>
      </c>
      <c r="O868" s="2"/>
      <c r="P868" s="2"/>
      <c r="Q868" s="2"/>
      <c r="R868" s="4"/>
    </row>
    <row r="869" ht="14.25" customHeight="1">
      <c r="K869" s="2">
        <v>0.00867</v>
      </c>
      <c r="L869" s="2">
        <f t="shared" si="6"/>
        <v>0.000150326501</v>
      </c>
      <c r="M869" s="2">
        <f t="shared" si="7"/>
        <v>0.1742284146</v>
      </c>
      <c r="N869" s="2">
        <f t="shared" si="8"/>
        <v>0.03059856871</v>
      </c>
      <c r="O869" s="2"/>
      <c r="P869" s="2"/>
      <c r="Q869" s="2"/>
      <c r="R869" s="4"/>
    </row>
    <row r="870" ht="14.25" customHeight="1">
      <c r="K870" s="2">
        <v>0.00868</v>
      </c>
      <c r="L870" s="2">
        <f t="shared" si="6"/>
        <v>0.0001506734488</v>
      </c>
      <c r="M870" s="2">
        <f t="shared" si="7"/>
        <v>0.1746305271</v>
      </c>
      <c r="N870" s="2">
        <f t="shared" si="8"/>
        <v>0.03064434106</v>
      </c>
      <c r="O870" s="2"/>
      <c r="P870" s="2"/>
      <c r="Q870" s="2"/>
      <c r="R870" s="4"/>
    </row>
    <row r="871" ht="14.25" customHeight="1">
      <c r="K871" s="2">
        <v>0.00869</v>
      </c>
      <c r="L871" s="2">
        <f t="shared" si="6"/>
        <v>0.0001510207964</v>
      </c>
      <c r="M871" s="2">
        <f t="shared" si="7"/>
        <v>0.175033103</v>
      </c>
      <c r="N871" s="2">
        <f t="shared" si="8"/>
        <v>0.03069014964</v>
      </c>
      <c r="O871" s="2"/>
      <c r="P871" s="2"/>
      <c r="Q871" s="2"/>
      <c r="R871" s="4"/>
    </row>
    <row r="872" ht="14.25" customHeight="1">
      <c r="K872" s="2">
        <v>0.0087</v>
      </c>
      <c r="L872" s="2">
        <f t="shared" si="6"/>
        <v>0.0001513685438</v>
      </c>
      <c r="M872" s="2">
        <f t="shared" si="7"/>
        <v>0.1754361422</v>
      </c>
      <c r="N872" s="2">
        <f t="shared" si="8"/>
        <v>0.03073599449</v>
      </c>
      <c r="O872" s="2"/>
      <c r="P872" s="2"/>
      <c r="Q872" s="2"/>
      <c r="R872" s="4"/>
    </row>
    <row r="873" ht="14.25" customHeight="1">
      <c r="K873" s="2">
        <v>0.00871</v>
      </c>
      <c r="L873" s="2">
        <f t="shared" si="6"/>
        <v>0.000151716691</v>
      </c>
      <c r="M873" s="2">
        <f t="shared" si="7"/>
        <v>0.1758396449</v>
      </c>
      <c r="N873" s="2">
        <f t="shared" si="8"/>
        <v>0.03078187566</v>
      </c>
      <c r="O873" s="2"/>
      <c r="P873" s="2"/>
      <c r="Q873" s="2"/>
      <c r="R873" s="4"/>
    </row>
    <row r="874" ht="14.25" customHeight="1">
      <c r="K874" s="2">
        <v>0.00872</v>
      </c>
      <c r="L874" s="2">
        <f t="shared" si="6"/>
        <v>0.0001520652381</v>
      </c>
      <c r="M874" s="2">
        <f t="shared" si="7"/>
        <v>0.1762436109</v>
      </c>
      <c r="N874" s="2">
        <f t="shared" si="8"/>
        <v>0.03082779318</v>
      </c>
      <c r="O874" s="2"/>
      <c r="P874" s="2"/>
      <c r="Q874" s="2"/>
      <c r="R874" s="4"/>
    </row>
    <row r="875" ht="14.25" customHeight="1">
      <c r="K875" s="2">
        <v>0.00873</v>
      </c>
      <c r="L875" s="2">
        <f t="shared" si="6"/>
        <v>0.000152414185</v>
      </c>
      <c r="M875" s="2">
        <f t="shared" si="7"/>
        <v>0.1766480404</v>
      </c>
      <c r="N875" s="2">
        <f t="shared" si="8"/>
        <v>0.0308737471</v>
      </c>
      <c r="O875" s="2"/>
      <c r="P875" s="2"/>
      <c r="Q875" s="2"/>
      <c r="R875" s="4"/>
    </row>
    <row r="876" ht="14.25" customHeight="1">
      <c r="K876" s="2">
        <v>0.00874</v>
      </c>
      <c r="L876" s="2">
        <f t="shared" si="6"/>
        <v>0.0001527635317</v>
      </c>
      <c r="M876" s="2">
        <f t="shared" si="7"/>
        <v>0.1770529332</v>
      </c>
      <c r="N876" s="2">
        <f t="shared" si="8"/>
        <v>0.03091973746</v>
      </c>
      <c r="O876" s="2"/>
      <c r="P876" s="2"/>
      <c r="Q876" s="2"/>
      <c r="R876" s="4"/>
    </row>
    <row r="877" ht="14.25" customHeight="1">
      <c r="K877" s="2">
        <v>0.00875</v>
      </c>
      <c r="L877" s="2">
        <f t="shared" si="6"/>
        <v>0.0001531132782</v>
      </c>
      <c r="M877" s="2">
        <f t="shared" si="7"/>
        <v>0.1774582894</v>
      </c>
      <c r="N877" s="2">
        <f t="shared" si="8"/>
        <v>0.0309657643</v>
      </c>
      <c r="O877" s="2"/>
      <c r="P877" s="2"/>
      <c r="Q877" s="2"/>
      <c r="R877" s="4"/>
    </row>
    <row r="878" ht="14.25" customHeight="1">
      <c r="K878" s="2">
        <v>0.00876</v>
      </c>
      <c r="L878" s="2">
        <f t="shared" si="6"/>
        <v>0.0001534634245</v>
      </c>
      <c r="M878" s="2">
        <f t="shared" si="7"/>
        <v>0.177864109</v>
      </c>
      <c r="N878" s="2">
        <f t="shared" si="8"/>
        <v>0.03101182766</v>
      </c>
      <c r="O878" s="2"/>
      <c r="P878" s="2"/>
      <c r="Q878" s="2"/>
      <c r="R878" s="4"/>
    </row>
    <row r="879" ht="14.25" customHeight="1">
      <c r="K879" s="2">
        <v>0.00877</v>
      </c>
      <c r="L879" s="2">
        <f t="shared" si="6"/>
        <v>0.0001538139706</v>
      </c>
      <c r="M879" s="2">
        <f t="shared" si="7"/>
        <v>0.178270392</v>
      </c>
      <c r="N879" s="2">
        <f t="shared" si="8"/>
        <v>0.03105792758</v>
      </c>
      <c r="O879" s="2"/>
      <c r="P879" s="2"/>
      <c r="Q879" s="2"/>
      <c r="R879" s="4"/>
    </row>
    <row r="880" ht="14.25" customHeight="1">
      <c r="K880" s="2">
        <v>0.00878</v>
      </c>
      <c r="L880" s="2">
        <f t="shared" si="6"/>
        <v>0.0001541649166</v>
      </c>
      <c r="M880" s="2">
        <f t="shared" si="7"/>
        <v>0.1786771383</v>
      </c>
      <c r="N880" s="2">
        <f t="shared" si="8"/>
        <v>0.03110406412</v>
      </c>
      <c r="O880" s="2"/>
      <c r="P880" s="2"/>
      <c r="Q880" s="2"/>
      <c r="R880" s="4"/>
    </row>
    <row r="881" ht="14.25" customHeight="1">
      <c r="K881" s="2">
        <v>0.00879</v>
      </c>
      <c r="L881" s="2">
        <f t="shared" si="6"/>
        <v>0.0001545162624</v>
      </c>
      <c r="M881" s="2">
        <f t="shared" si="7"/>
        <v>0.1790843481</v>
      </c>
      <c r="N881" s="2">
        <f t="shared" si="8"/>
        <v>0.0311502373</v>
      </c>
      <c r="O881" s="2"/>
      <c r="P881" s="2"/>
      <c r="Q881" s="2"/>
      <c r="R881" s="4"/>
    </row>
    <row r="882" ht="14.25" customHeight="1">
      <c r="K882" s="2">
        <v>0.0088</v>
      </c>
      <c r="L882" s="2">
        <f t="shared" si="6"/>
        <v>0.0001548680079</v>
      </c>
      <c r="M882" s="2">
        <f t="shared" si="7"/>
        <v>0.1794920212</v>
      </c>
      <c r="N882" s="2">
        <f t="shared" si="8"/>
        <v>0.03119644716</v>
      </c>
      <c r="O882" s="2"/>
      <c r="P882" s="2"/>
      <c r="Q882" s="2"/>
      <c r="R882" s="4"/>
    </row>
    <row r="883" ht="14.25" customHeight="1">
      <c r="K883" s="2">
        <v>0.00881</v>
      </c>
      <c r="L883" s="2">
        <f t="shared" si="6"/>
        <v>0.0001552201534</v>
      </c>
      <c r="M883" s="2">
        <f t="shared" si="7"/>
        <v>0.1799001577</v>
      </c>
      <c r="N883" s="2">
        <f t="shared" si="8"/>
        <v>0.03124269376</v>
      </c>
      <c r="O883" s="2"/>
      <c r="P883" s="2"/>
      <c r="Q883" s="2"/>
      <c r="R883" s="4"/>
    </row>
    <row r="884" ht="14.25" customHeight="1">
      <c r="K884" s="2">
        <v>0.00882</v>
      </c>
      <c r="L884" s="2">
        <f t="shared" si="6"/>
        <v>0.0001555726986</v>
      </c>
      <c r="M884" s="2">
        <f t="shared" si="7"/>
        <v>0.1803087576</v>
      </c>
      <c r="N884" s="2">
        <f t="shared" si="8"/>
        <v>0.03128897714</v>
      </c>
      <c r="O884" s="2"/>
      <c r="P884" s="2"/>
      <c r="Q884" s="2"/>
      <c r="R884" s="4"/>
    </row>
    <row r="885" ht="14.25" customHeight="1">
      <c r="K885" s="2">
        <v>0.00883</v>
      </c>
      <c r="L885" s="2">
        <f t="shared" si="6"/>
        <v>0.0001559256436</v>
      </c>
      <c r="M885" s="2">
        <f t="shared" si="7"/>
        <v>0.1807178209</v>
      </c>
      <c r="N885" s="2">
        <f t="shared" si="8"/>
        <v>0.03133529732</v>
      </c>
      <c r="O885" s="2"/>
      <c r="P885" s="2"/>
      <c r="Q885" s="2"/>
      <c r="R885" s="4"/>
    </row>
    <row r="886" ht="14.25" customHeight="1">
      <c r="K886" s="2">
        <v>0.00884</v>
      </c>
      <c r="L886" s="2">
        <f t="shared" si="6"/>
        <v>0.0001562789884</v>
      </c>
      <c r="M886" s="2">
        <f t="shared" si="7"/>
        <v>0.1811273476</v>
      </c>
      <c r="N886" s="2">
        <f t="shared" si="8"/>
        <v>0.03138165436</v>
      </c>
      <c r="O886" s="2"/>
      <c r="P886" s="2"/>
      <c r="Q886" s="2"/>
      <c r="R886" s="4"/>
    </row>
    <row r="887" ht="14.25" customHeight="1">
      <c r="K887" s="2">
        <v>0.00885</v>
      </c>
      <c r="L887" s="2">
        <f t="shared" si="6"/>
        <v>0.0001566327331</v>
      </c>
      <c r="M887" s="2">
        <f t="shared" si="7"/>
        <v>0.1815373377</v>
      </c>
      <c r="N887" s="2">
        <f t="shared" si="8"/>
        <v>0.0314280483</v>
      </c>
      <c r="O887" s="2"/>
      <c r="P887" s="2"/>
      <c r="Q887" s="2"/>
      <c r="R887" s="4"/>
    </row>
    <row r="888" ht="14.25" customHeight="1">
      <c r="K888" s="2">
        <v>0.00886</v>
      </c>
      <c r="L888" s="2">
        <f t="shared" si="6"/>
        <v>0.0001569868776</v>
      </c>
      <c r="M888" s="2">
        <f t="shared" si="7"/>
        <v>0.1819477911</v>
      </c>
      <c r="N888" s="2">
        <f t="shared" si="8"/>
        <v>0.03147447918</v>
      </c>
      <c r="O888" s="2"/>
      <c r="P888" s="2"/>
      <c r="Q888" s="2"/>
      <c r="R888" s="4"/>
    </row>
    <row r="889" ht="14.25" customHeight="1">
      <c r="K889" s="2">
        <v>0.00887</v>
      </c>
      <c r="L889" s="2">
        <f t="shared" si="6"/>
        <v>0.0001573414218</v>
      </c>
      <c r="M889" s="2">
        <f t="shared" si="7"/>
        <v>0.1823587079</v>
      </c>
      <c r="N889" s="2">
        <f t="shared" si="8"/>
        <v>0.03152094704</v>
      </c>
      <c r="O889" s="2"/>
      <c r="P889" s="2"/>
      <c r="Q889" s="2"/>
      <c r="R889" s="4"/>
    </row>
    <row r="890" ht="14.25" customHeight="1">
      <c r="K890" s="2">
        <v>0.00888</v>
      </c>
      <c r="L890" s="2">
        <f t="shared" si="6"/>
        <v>0.0001576963659</v>
      </c>
      <c r="M890" s="2">
        <f t="shared" si="7"/>
        <v>0.1827700881</v>
      </c>
      <c r="N890" s="2">
        <f t="shared" si="8"/>
        <v>0.03156745192</v>
      </c>
      <c r="O890" s="2"/>
      <c r="P890" s="2"/>
      <c r="Q890" s="2"/>
      <c r="R890" s="4"/>
    </row>
    <row r="891" ht="14.25" customHeight="1">
      <c r="K891" s="2">
        <v>0.00889</v>
      </c>
      <c r="L891" s="2">
        <f t="shared" si="6"/>
        <v>0.0001580517098</v>
      </c>
      <c r="M891" s="2">
        <f t="shared" si="7"/>
        <v>0.1831819317</v>
      </c>
      <c r="N891" s="2">
        <f t="shared" si="8"/>
        <v>0.03161399387</v>
      </c>
      <c r="O891" s="2"/>
      <c r="P891" s="2"/>
      <c r="Q891" s="2"/>
      <c r="R891" s="4"/>
    </row>
    <row r="892" ht="14.25" customHeight="1">
      <c r="K892" s="2">
        <v>0.0089</v>
      </c>
      <c r="L892" s="2">
        <f t="shared" si="6"/>
        <v>0.0001584074535</v>
      </c>
      <c r="M892" s="2">
        <f t="shared" si="7"/>
        <v>0.1835942387</v>
      </c>
      <c r="N892" s="2">
        <f t="shared" si="8"/>
        <v>0.03166057292</v>
      </c>
      <c r="O892" s="2"/>
      <c r="P892" s="2"/>
      <c r="Q892" s="2"/>
      <c r="R892" s="4"/>
    </row>
    <row r="893" ht="14.25" customHeight="1">
      <c r="K893" s="2">
        <v>0.00891</v>
      </c>
      <c r="L893" s="2">
        <f t="shared" si="6"/>
        <v>0.0001587635971</v>
      </c>
      <c r="M893" s="2">
        <f t="shared" si="7"/>
        <v>0.184007009</v>
      </c>
      <c r="N893" s="2">
        <f t="shared" si="8"/>
        <v>0.03170718912</v>
      </c>
      <c r="O893" s="2"/>
      <c r="P893" s="2"/>
      <c r="Q893" s="2"/>
      <c r="R893" s="4"/>
    </row>
    <row r="894" ht="14.25" customHeight="1">
      <c r="K894" s="2">
        <v>0.00892</v>
      </c>
      <c r="L894" s="2">
        <f t="shared" si="6"/>
        <v>0.0001591201404</v>
      </c>
      <c r="M894" s="2">
        <f t="shared" si="7"/>
        <v>0.1844202427</v>
      </c>
      <c r="N894" s="2">
        <f t="shared" si="8"/>
        <v>0.03175384251</v>
      </c>
      <c r="O894" s="2"/>
      <c r="P894" s="2"/>
      <c r="Q894" s="2"/>
      <c r="R894" s="4"/>
    </row>
    <row r="895" ht="14.25" customHeight="1">
      <c r="K895" s="2">
        <v>0.00893</v>
      </c>
      <c r="L895" s="2">
        <f t="shared" si="6"/>
        <v>0.0001594770835</v>
      </c>
      <c r="M895" s="2">
        <f t="shared" si="7"/>
        <v>0.1848339398</v>
      </c>
      <c r="N895" s="2">
        <f t="shared" si="8"/>
        <v>0.03180053313</v>
      </c>
      <c r="O895" s="2"/>
      <c r="P895" s="2"/>
      <c r="Q895" s="2"/>
      <c r="R895" s="4"/>
    </row>
    <row r="896" ht="14.25" customHeight="1">
      <c r="K896" s="2">
        <v>0.00894</v>
      </c>
      <c r="L896" s="2">
        <f t="shared" si="6"/>
        <v>0.0001598344265</v>
      </c>
      <c r="M896" s="2">
        <f t="shared" si="7"/>
        <v>0.1852481003</v>
      </c>
      <c r="N896" s="2">
        <f t="shared" si="8"/>
        <v>0.03184726102</v>
      </c>
      <c r="O896" s="2"/>
      <c r="P896" s="2"/>
      <c r="Q896" s="2"/>
      <c r="R896" s="4"/>
    </row>
    <row r="897" ht="14.25" customHeight="1">
      <c r="K897" s="2">
        <v>0.00895</v>
      </c>
      <c r="L897" s="2">
        <f t="shared" si="6"/>
        <v>0.0001601921692</v>
      </c>
      <c r="M897" s="2">
        <f t="shared" si="7"/>
        <v>0.1856627241</v>
      </c>
      <c r="N897" s="2">
        <f t="shared" si="8"/>
        <v>0.03189402623</v>
      </c>
      <c r="O897" s="2"/>
      <c r="P897" s="2"/>
      <c r="Q897" s="2"/>
      <c r="R897" s="4"/>
    </row>
    <row r="898" ht="14.25" customHeight="1">
      <c r="K898" s="2">
        <v>0.00896</v>
      </c>
      <c r="L898" s="2">
        <f t="shared" si="6"/>
        <v>0.0001605503118</v>
      </c>
      <c r="M898" s="2">
        <f t="shared" si="7"/>
        <v>0.1860778114</v>
      </c>
      <c r="N898" s="2">
        <f t="shared" si="8"/>
        <v>0.03194082879</v>
      </c>
      <c r="O898" s="2"/>
      <c r="P898" s="2"/>
      <c r="Q898" s="2"/>
      <c r="R898" s="4"/>
    </row>
    <row r="899" ht="14.25" customHeight="1">
      <c r="K899" s="2">
        <v>0.00897</v>
      </c>
      <c r="L899" s="2">
        <f t="shared" si="6"/>
        <v>0.0001609088542</v>
      </c>
      <c r="M899" s="2">
        <f t="shared" si="7"/>
        <v>0.186493362</v>
      </c>
      <c r="N899" s="2">
        <f t="shared" si="8"/>
        <v>0.03198766875</v>
      </c>
      <c r="O899" s="2"/>
      <c r="P899" s="2"/>
      <c r="Q899" s="2"/>
      <c r="R899" s="4"/>
    </row>
    <row r="900" ht="14.25" customHeight="1">
      <c r="K900" s="2">
        <v>0.00898</v>
      </c>
      <c r="L900" s="2">
        <f t="shared" si="6"/>
        <v>0.0001612677963</v>
      </c>
      <c r="M900" s="2">
        <f t="shared" si="7"/>
        <v>0.186909376</v>
      </c>
      <c r="N900" s="2">
        <f t="shared" si="8"/>
        <v>0.03203454615</v>
      </c>
      <c r="O900" s="2"/>
      <c r="P900" s="2"/>
      <c r="Q900" s="2"/>
      <c r="R900" s="4"/>
    </row>
    <row r="901" ht="14.25" customHeight="1">
      <c r="K901" s="2">
        <v>0.00899</v>
      </c>
      <c r="L901" s="2">
        <f t="shared" si="6"/>
        <v>0.0001616271383</v>
      </c>
      <c r="M901" s="2">
        <f t="shared" si="7"/>
        <v>0.1873258533</v>
      </c>
      <c r="N901" s="2">
        <f t="shared" si="8"/>
        <v>0.03208146103</v>
      </c>
      <c r="O901" s="2"/>
      <c r="P901" s="2"/>
      <c r="Q901" s="2"/>
      <c r="R901" s="4"/>
    </row>
    <row r="902" ht="14.25" customHeight="1">
      <c r="K902" s="2">
        <v>0.009</v>
      </c>
      <c r="L902" s="2">
        <f t="shared" si="6"/>
        <v>0.0001619868801</v>
      </c>
      <c r="M902" s="2">
        <f t="shared" si="7"/>
        <v>0.1877427941</v>
      </c>
      <c r="N902" s="2">
        <f t="shared" si="8"/>
        <v>0.03212841344</v>
      </c>
      <c r="O902" s="2"/>
      <c r="P902" s="2"/>
      <c r="Q902" s="2"/>
      <c r="R902" s="4"/>
    </row>
    <row r="903" ht="14.25" customHeight="1">
      <c r="K903" s="2">
        <v>0.00901</v>
      </c>
      <c r="L903" s="2">
        <f t="shared" si="6"/>
        <v>0.0001623470217</v>
      </c>
      <c r="M903" s="2">
        <f t="shared" si="7"/>
        <v>0.1881601982</v>
      </c>
      <c r="N903" s="2">
        <f t="shared" si="8"/>
        <v>0.0321754034</v>
      </c>
      <c r="O903" s="2"/>
      <c r="P903" s="2"/>
      <c r="Q903" s="2"/>
      <c r="R903" s="4"/>
    </row>
    <row r="904" ht="14.25" customHeight="1">
      <c r="K904" s="2">
        <v>0.00902</v>
      </c>
      <c r="L904" s="2">
        <f t="shared" si="6"/>
        <v>0.0001627075631</v>
      </c>
      <c r="M904" s="2">
        <f t="shared" si="7"/>
        <v>0.1885780657</v>
      </c>
      <c r="N904" s="2">
        <f t="shared" si="8"/>
        <v>0.03222243098</v>
      </c>
      <c r="O904" s="2"/>
      <c r="P904" s="2"/>
      <c r="Q904" s="2"/>
      <c r="R904" s="4"/>
    </row>
    <row r="905" ht="14.25" customHeight="1">
      <c r="K905" s="2">
        <v>0.00903</v>
      </c>
      <c r="L905" s="2">
        <f t="shared" si="6"/>
        <v>0.0001630685043</v>
      </c>
      <c r="M905" s="2">
        <f t="shared" si="7"/>
        <v>0.1889963965</v>
      </c>
      <c r="N905" s="2">
        <f t="shared" si="8"/>
        <v>0.0322694962</v>
      </c>
      <c r="O905" s="2"/>
      <c r="P905" s="2"/>
      <c r="Q905" s="2"/>
      <c r="R905" s="4"/>
    </row>
    <row r="906" ht="14.25" customHeight="1">
      <c r="K906" s="2">
        <v>0.00904</v>
      </c>
      <c r="L906" s="2">
        <f t="shared" si="6"/>
        <v>0.0001634298453</v>
      </c>
      <c r="M906" s="2">
        <f t="shared" si="7"/>
        <v>0.1894151908</v>
      </c>
      <c r="N906" s="2">
        <f t="shared" si="8"/>
        <v>0.03231659911</v>
      </c>
      <c r="O906" s="2"/>
      <c r="P906" s="2"/>
      <c r="Q906" s="2"/>
      <c r="R906" s="4"/>
    </row>
    <row r="907" ht="14.25" customHeight="1">
      <c r="K907" s="2">
        <v>0.00905</v>
      </c>
      <c r="L907" s="2">
        <f t="shared" si="6"/>
        <v>0.0001637915862</v>
      </c>
      <c r="M907" s="2">
        <f t="shared" si="7"/>
        <v>0.1898344484</v>
      </c>
      <c r="N907" s="2">
        <f t="shared" si="8"/>
        <v>0.03236373975</v>
      </c>
      <c r="O907" s="2"/>
      <c r="P907" s="2"/>
      <c r="Q907" s="2"/>
      <c r="R907" s="4"/>
    </row>
    <row r="908" ht="14.25" customHeight="1">
      <c r="K908" s="2">
        <v>0.00906</v>
      </c>
      <c r="L908" s="2">
        <f t="shared" si="6"/>
        <v>0.0001641537268</v>
      </c>
      <c r="M908" s="2">
        <f t="shared" si="7"/>
        <v>0.1902541693</v>
      </c>
      <c r="N908" s="2">
        <f t="shared" si="8"/>
        <v>0.03241091816</v>
      </c>
      <c r="O908" s="2"/>
      <c r="P908" s="2"/>
      <c r="Q908" s="2"/>
      <c r="R908" s="4"/>
    </row>
    <row r="909" ht="14.25" customHeight="1">
      <c r="K909" s="2">
        <v>0.00907</v>
      </c>
      <c r="L909" s="2">
        <f t="shared" si="6"/>
        <v>0.0001645162672</v>
      </c>
      <c r="M909" s="2">
        <f t="shared" si="7"/>
        <v>0.1906743537</v>
      </c>
      <c r="N909" s="2">
        <f t="shared" si="8"/>
        <v>0.03245813439</v>
      </c>
      <c r="O909" s="2"/>
      <c r="P909" s="2"/>
      <c r="Q909" s="2"/>
      <c r="R909" s="4"/>
    </row>
    <row r="910" ht="14.25" customHeight="1">
      <c r="K910" s="2">
        <v>0.00908</v>
      </c>
      <c r="L910" s="2">
        <f t="shared" si="6"/>
        <v>0.0001648792074</v>
      </c>
      <c r="M910" s="2">
        <f t="shared" si="7"/>
        <v>0.1910950014</v>
      </c>
      <c r="N910" s="2">
        <f t="shared" si="8"/>
        <v>0.03250538848</v>
      </c>
      <c r="O910" s="2"/>
      <c r="P910" s="2"/>
      <c r="Q910" s="2"/>
      <c r="R910" s="4"/>
    </row>
    <row r="911" ht="14.25" customHeight="1">
      <c r="K911" s="2">
        <v>0.00909</v>
      </c>
      <c r="L911" s="2">
        <f t="shared" si="6"/>
        <v>0.0001652425475</v>
      </c>
      <c r="M911" s="2">
        <f t="shared" si="7"/>
        <v>0.1915161125</v>
      </c>
      <c r="N911" s="2">
        <f t="shared" si="8"/>
        <v>0.03255268046</v>
      </c>
      <c r="O911" s="2"/>
      <c r="P911" s="2"/>
      <c r="Q911" s="2"/>
      <c r="R911" s="4"/>
    </row>
    <row r="912" ht="14.25" customHeight="1">
      <c r="K912" s="2">
        <v>0.0091</v>
      </c>
      <c r="L912" s="2">
        <f t="shared" si="6"/>
        <v>0.0001656062873</v>
      </c>
      <c r="M912" s="2">
        <f t="shared" si="7"/>
        <v>0.191937687</v>
      </c>
      <c r="N912" s="2">
        <f t="shared" si="8"/>
        <v>0.03260001038</v>
      </c>
      <c r="O912" s="2"/>
      <c r="P912" s="2"/>
      <c r="Q912" s="2"/>
      <c r="R912" s="4"/>
    </row>
    <row r="913" ht="14.25" customHeight="1">
      <c r="K913" s="2">
        <v>0.00911</v>
      </c>
      <c r="L913" s="2">
        <f t="shared" si="6"/>
        <v>0.0001659704269</v>
      </c>
      <c r="M913" s="2">
        <f t="shared" si="7"/>
        <v>0.1923597248</v>
      </c>
      <c r="N913" s="2">
        <f t="shared" si="8"/>
        <v>0.03264737828</v>
      </c>
      <c r="O913" s="2"/>
      <c r="P913" s="2"/>
      <c r="Q913" s="2"/>
      <c r="R913" s="4"/>
    </row>
    <row r="914" ht="14.25" customHeight="1">
      <c r="K914" s="2">
        <v>0.00912</v>
      </c>
      <c r="L914" s="2">
        <f t="shared" si="6"/>
        <v>0.0001663349663</v>
      </c>
      <c r="M914" s="2">
        <f t="shared" si="7"/>
        <v>0.192782226</v>
      </c>
      <c r="N914" s="2">
        <f t="shared" si="8"/>
        <v>0.03269478421</v>
      </c>
      <c r="O914" s="2"/>
      <c r="P914" s="2"/>
      <c r="Q914" s="2"/>
      <c r="R914" s="4"/>
    </row>
    <row r="915" ht="14.25" customHeight="1">
      <c r="K915" s="2">
        <v>0.00913</v>
      </c>
      <c r="L915" s="2">
        <f t="shared" si="6"/>
        <v>0.0001666999056</v>
      </c>
      <c r="M915" s="2">
        <f t="shared" si="7"/>
        <v>0.1932051906</v>
      </c>
      <c r="N915" s="2">
        <f t="shared" si="8"/>
        <v>0.0327422282</v>
      </c>
      <c r="O915" s="2"/>
      <c r="P915" s="2"/>
      <c r="Q915" s="2"/>
      <c r="R915" s="4"/>
    </row>
    <row r="916" ht="14.25" customHeight="1">
      <c r="K916" s="2">
        <v>0.00914</v>
      </c>
      <c r="L916" s="2">
        <f t="shared" si="6"/>
        <v>0.0001670652446</v>
      </c>
      <c r="M916" s="2">
        <f t="shared" si="7"/>
        <v>0.1936286185</v>
      </c>
      <c r="N916" s="2">
        <f t="shared" si="8"/>
        <v>0.03278971029</v>
      </c>
      <c r="O916" s="2"/>
      <c r="P916" s="2"/>
      <c r="Q916" s="2"/>
      <c r="R916" s="4"/>
    </row>
    <row r="917" ht="14.25" customHeight="1">
      <c r="K917" s="2">
        <v>0.00915</v>
      </c>
      <c r="L917" s="2">
        <f t="shared" si="6"/>
        <v>0.0001674309834</v>
      </c>
      <c r="M917" s="2">
        <f t="shared" si="7"/>
        <v>0.1940525098</v>
      </c>
      <c r="N917" s="2">
        <f t="shared" si="8"/>
        <v>0.03283723054</v>
      </c>
      <c r="O917" s="2"/>
      <c r="P917" s="2"/>
      <c r="Q917" s="2"/>
      <c r="R917" s="4"/>
    </row>
    <row r="918" ht="14.25" customHeight="1">
      <c r="K918" s="2">
        <v>0.00916</v>
      </c>
      <c r="L918" s="2">
        <f t="shared" si="6"/>
        <v>0.0001677971221</v>
      </c>
      <c r="M918" s="2">
        <f t="shared" si="7"/>
        <v>0.1944768645</v>
      </c>
      <c r="N918" s="2">
        <f t="shared" si="8"/>
        <v>0.03288478897</v>
      </c>
      <c r="O918" s="2"/>
      <c r="P918" s="2"/>
      <c r="Q918" s="2"/>
      <c r="R918" s="4"/>
    </row>
    <row r="919" ht="14.25" customHeight="1">
      <c r="K919" s="2">
        <v>0.00917</v>
      </c>
      <c r="L919" s="2">
        <f t="shared" si="6"/>
        <v>0.0001681636605</v>
      </c>
      <c r="M919" s="2">
        <f t="shared" si="7"/>
        <v>0.1949016825</v>
      </c>
      <c r="N919" s="2">
        <f t="shared" si="8"/>
        <v>0.03293238563</v>
      </c>
      <c r="O919" s="2"/>
      <c r="P919" s="2"/>
      <c r="Q919" s="2"/>
      <c r="R919" s="4"/>
    </row>
    <row r="920" ht="14.25" customHeight="1">
      <c r="K920" s="2">
        <v>0.00918</v>
      </c>
      <c r="L920" s="2">
        <f t="shared" si="6"/>
        <v>0.0001685305987</v>
      </c>
      <c r="M920" s="2">
        <f t="shared" si="7"/>
        <v>0.1953269639</v>
      </c>
      <c r="N920" s="2">
        <f t="shared" si="8"/>
        <v>0.03298002057</v>
      </c>
      <c r="O920" s="2"/>
      <c r="P920" s="2"/>
      <c r="Q920" s="2"/>
      <c r="R920" s="4"/>
    </row>
    <row r="921" ht="14.25" customHeight="1">
      <c r="K921" s="2">
        <v>0.00919</v>
      </c>
      <c r="L921" s="2">
        <f t="shared" si="6"/>
        <v>0.0001688979367</v>
      </c>
      <c r="M921" s="2">
        <f t="shared" si="7"/>
        <v>0.1957527087</v>
      </c>
      <c r="N921" s="2">
        <f t="shared" si="8"/>
        <v>0.03302769382</v>
      </c>
      <c r="O921" s="2"/>
      <c r="P921" s="2"/>
      <c r="Q921" s="2"/>
      <c r="R921" s="4"/>
    </row>
    <row r="922" ht="14.25" customHeight="1">
      <c r="K922" s="2">
        <v>0.0092</v>
      </c>
      <c r="L922" s="2">
        <f t="shared" si="6"/>
        <v>0.0001692656746</v>
      </c>
      <c r="M922" s="2">
        <f t="shared" si="7"/>
        <v>0.1961789168</v>
      </c>
      <c r="N922" s="2">
        <f t="shared" si="8"/>
        <v>0.03307540543</v>
      </c>
      <c r="O922" s="2"/>
      <c r="P922" s="2"/>
      <c r="Q922" s="2"/>
      <c r="R922" s="4"/>
    </row>
    <row r="923" ht="14.25" customHeight="1">
      <c r="K923" s="2">
        <v>0.00921</v>
      </c>
      <c r="L923" s="2">
        <f t="shared" si="6"/>
        <v>0.0001696338122</v>
      </c>
      <c r="M923" s="2">
        <f t="shared" si="7"/>
        <v>0.1966055883</v>
      </c>
      <c r="N923" s="2">
        <f t="shared" si="8"/>
        <v>0.03312315543</v>
      </c>
      <c r="O923" s="2"/>
      <c r="P923" s="2"/>
      <c r="Q923" s="2"/>
      <c r="R923" s="4"/>
    </row>
    <row r="924" ht="14.25" customHeight="1">
      <c r="K924" s="2">
        <v>0.00922</v>
      </c>
      <c r="L924" s="2">
        <f t="shared" si="6"/>
        <v>0.0001700023496</v>
      </c>
      <c r="M924" s="2">
        <f t="shared" si="7"/>
        <v>0.1970327232</v>
      </c>
      <c r="N924" s="2">
        <f t="shared" si="8"/>
        <v>0.03317094387</v>
      </c>
      <c r="O924" s="2"/>
      <c r="P924" s="2"/>
      <c r="Q924" s="2"/>
      <c r="R924" s="4"/>
    </row>
    <row r="925" ht="14.25" customHeight="1">
      <c r="K925" s="2">
        <v>0.00923</v>
      </c>
      <c r="L925" s="2">
        <f t="shared" si="6"/>
        <v>0.0001703712868</v>
      </c>
      <c r="M925" s="2">
        <f t="shared" si="7"/>
        <v>0.1974603214</v>
      </c>
      <c r="N925" s="2">
        <f t="shared" si="8"/>
        <v>0.0332187708</v>
      </c>
      <c r="O925" s="2"/>
      <c r="P925" s="2"/>
      <c r="Q925" s="2"/>
      <c r="R925" s="4"/>
    </row>
    <row r="926" ht="14.25" customHeight="1">
      <c r="K926" s="2">
        <v>0.00924</v>
      </c>
      <c r="L926" s="2">
        <f t="shared" si="6"/>
        <v>0.0001707406238</v>
      </c>
      <c r="M926" s="2">
        <f t="shared" si="7"/>
        <v>0.197888383</v>
      </c>
      <c r="N926" s="2">
        <f t="shared" si="8"/>
        <v>0.03326663624</v>
      </c>
      <c r="O926" s="2"/>
      <c r="P926" s="2"/>
      <c r="Q926" s="2"/>
      <c r="R926" s="4"/>
    </row>
    <row r="927" ht="14.25" customHeight="1">
      <c r="K927" s="2">
        <v>0.00925</v>
      </c>
      <c r="L927" s="2">
        <f t="shared" si="6"/>
        <v>0.0001711103606</v>
      </c>
      <c r="M927" s="2">
        <f t="shared" si="7"/>
        <v>0.198316908</v>
      </c>
      <c r="N927" s="2">
        <f t="shared" si="8"/>
        <v>0.03331454026</v>
      </c>
      <c r="O927" s="2"/>
      <c r="P927" s="2"/>
      <c r="Q927" s="2"/>
      <c r="R927" s="4"/>
    </row>
    <row r="928" ht="14.25" customHeight="1">
      <c r="K928" s="2">
        <v>0.00926</v>
      </c>
      <c r="L928" s="2">
        <f t="shared" si="6"/>
        <v>0.0001714804972</v>
      </c>
      <c r="M928" s="2">
        <f t="shared" si="7"/>
        <v>0.1987458963</v>
      </c>
      <c r="N928" s="2">
        <f t="shared" si="8"/>
        <v>0.03336248287</v>
      </c>
      <c r="O928" s="2"/>
      <c r="P928" s="2"/>
      <c r="Q928" s="2"/>
      <c r="R928" s="4"/>
    </row>
    <row r="929" ht="14.25" customHeight="1">
      <c r="K929" s="2">
        <v>0.00927</v>
      </c>
      <c r="L929" s="2">
        <f t="shared" si="6"/>
        <v>0.0001718510336</v>
      </c>
      <c r="M929" s="2">
        <f t="shared" si="7"/>
        <v>0.199175348</v>
      </c>
      <c r="N929" s="2">
        <f t="shared" si="8"/>
        <v>0.03341046414</v>
      </c>
      <c r="O929" s="2"/>
      <c r="P929" s="2"/>
      <c r="Q929" s="2"/>
      <c r="R929" s="4"/>
    </row>
    <row r="930" ht="14.25" customHeight="1">
      <c r="K930" s="2">
        <v>0.00928</v>
      </c>
      <c r="L930" s="2">
        <f t="shared" si="6"/>
        <v>0.0001722219698</v>
      </c>
      <c r="M930" s="2">
        <f t="shared" si="7"/>
        <v>0.199605263</v>
      </c>
      <c r="N930" s="2">
        <f t="shared" si="8"/>
        <v>0.03345848409</v>
      </c>
      <c r="O930" s="2"/>
      <c r="P930" s="2"/>
      <c r="Q930" s="2"/>
      <c r="R930" s="4"/>
    </row>
    <row r="931" ht="14.25" customHeight="1">
      <c r="K931" s="2">
        <v>0.00929</v>
      </c>
      <c r="L931" s="2">
        <f t="shared" si="6"/>
        <v>0.0001725933058</v>
      </c>
      <c r="M931" s="2">
        <f t="shared" si="7"/>
        <v>0.2000356414</v>
      </c>
      <c r="N931" s="2">
        <f t="shared" si="8"/>
        <v>0.03350654278</v>
      </c>
      <c r="O931" s="2"/>
      <c r="P931" s="2"/>
      <c r="Q931" s="2"/>
      <c r="R931" s="4"/>
    </row>
    <row r="932" ht="14.25" customHeight="1">
      <c r="K932" s="2">
        <v>0.0093</v>
      </c>
      <c r="L932" s="2">
        <f t="shared" si="6"/>
        <v>0.0001729650415</v>
      </c>
      <c r="M932" s="2">
        <f t="shared" si="7"/>
        <v>0.2004664832</v>
      </c>
      <c r="N932" s="2">
        <f t="shared" si="8"/>
        <v>0.03355464024</v>
      </c>
      <c r="O932" s="2"/>
      <c r="P932" s="2"/>
      <c r="Q932" s="2"/>
      <c r="R932" s="4"/>
    </row>
    <row r="933" ht="14.25" customHeight="1">
      <c r="K933" s="2">
        <v>0.00931</v>
      </c>
      <c r="L933" s="2">
        <f t="shared" si="6"/>
        <v>0.0001733371771</v>
      </c>
      <c r="M933" s="2">
        <f t="shared" si="7"/>
        <v>0.2008977883</v>
      </c>
      <c r="N933" s="2">
        <f t="shared" si="8"/>
        <v>0.03360277651</v>
      </c>
      <c r="O933" s="2"/>
      <c r="P933" s="2"/>
      <c r="Q933" s="2"/>
      <c r="R933" s="4"/>
    </row>
    <row r="934" ht="14.25" customHeight="1">
      <c r="K934" s="2">
        <v>0.00932</v>
      </c>
      <c r="L934" s="2">
        <f t="shared" si="6"/>
        <v>0.0001737097125</v>
      </c>
      <c r="M934" s="2">
        <f t="shared" si="7"/>
        <v>0.2013295568</v>
      </c>
      <c r="N934" s="2">
        <f t="shared" si="8"/>
        <v>0.03365095164</v>
      </c>
      <c r="O934" s="2"/>
      <c r="P934" s="2"/>
      <c r="Q934" s="2"/>
      <c r="R934" s="4"/>
    </row>
    <row r="935" ht="14.25" customHeight="1">
      <c r="K935" s="2">
        <v>0.00933</v>
      </c>
      <c r="L935" s="2">
        <f t="shared" si="6"/>
        <v>0.0001740826476</v>
      </c>
      <c r="M935" s="2">
        <f t="shared" si="7"/>
        <v>0.2017617886</v>
      </c>
      <c r="N935" s="2">
        <f t="shared" si="8"/>
        <v>0.03369916566</v>
      </c>
      <c r="O935" s="2"/>
      <c r="P935" s="2"/>
      <c r="Q935" s="2"/>
      <c r="R935" s="4"/>
    </row>
    <row r="936" ht="14.25" customHeight="1">
      <c r="K936" s="2">
        <v>0.00934</v>
      </c>
      <c r="L936" s="2">
        <f t="shared" si="6"/>
        <v>0.0001744559826</v>
      </c>
      <c r="M936" s="2">
        <f t="shared" si="7"/>
        <v>0.2021944838</v>
      </c>
      <c r="N936" s="2">
        <f t="shared" si="8"/>
        <v>0.03374741863</v>
      </c>
      <c r="O936" s="2"/>
      <c r="P936" s="2"/>
      <c r="Q936" s="2"/>
      <c r="R936" s="4"/>
    </row>
    <row r="937" ht="14.25" customHeight="1">
      <c r="K937" s="2">
        <v>0.00935</v>
      </c>
      <c r="L937" s="2">
        <f t="shared" si="6"/>
        <v>0.0001748297173</v>
      </c>
      <c r="M937" s="2">
        <f t="shared" si="7"/>
        <v>0.2026276423</v>
      </c>
      <c r="N937" s="2">
        <f t="shared" si="8"/>
        <v>0.03379571057</v>
      </c>
      <c r="O937" s="2"/>
      <c r="P937" s="2"/>
      <c r="Q937" s="2"/>
      <c r="R937" s="4"/>
    </row>
    <row r="938" ht="14.25" customHeight="1">
      <c r="K938" s="2">
        <v>0.00936</v>
      </c>
      <c r="L938" s="2">
        <f t="shared" si="6"/>
        <v>0.0001752038518</v>
      </c>
      <c r="M938" s="2">
        <f t="shared" si="7"/>
        <v>0.2030612642</v>
      </c>
      <c r="N938" s="2">
        <f t="shared" si="8"/>
        <v>0.03384404154</v>
      </c>
      <c r="O938" s="2"/>
      <c r="P938" s="2"/>
      <c r="Q938" s="2"/>
      <c r="R938" s="4"/>
    </row>
    <row r="939" ht="14.25" customHeight="1">
      <c r="K939" s="2">
        <v>0.00937</v>
      </c>
      <c r="L939" s="2">
        <f t="shared" si="6"/>
        <v>0.0001755783861</v>
      </c>
      <c r="M939" s="2">
        <f t="shared" si="7"/>
        <v>0.2034953495</v>
      </c>
      <c r="N939" s="2">
        <f t="shared" si="8"/>
        <v>0.03389241158</v>
      </c>
      <c r="O939" s="2"/>
      <c r="P939" s="2"/>
      <c r="Q939" s="2"/>
      <c r="R939" s="4"/>
    </row>
    <row r="940" ht="14.25" customHeight="1">
      <c r="K940" s="2">
        <v>0.00938</v>
      </c>
      <c r="L940" s="2">
        <f t="shared" si="6"/>
        <v>0.0001759533202</v>
      </c>
      <c r="M940" s="2">
        <f t="shared" si="7"/>
        <v>0.2039298981</v>
      </c>
      <c r="N940" s="2">
        <f t="shared" si="8"/>
        <v>0.03394082071</v>
      </c>
      <c r="O940" s="2"/>
      <c r="P940" s="2"/>
      <c r="Q940" s="2"/>
      <c r="R940" s="4"/>
    </row>
    <row r="941" ht="14.25" customHeight="1">
      <c r="K941" s="2">
        <v>0.00939</v>
      </c>
      <c r="L941" s="2">
        <f t="shared" si="6"/>
        <v>0.0001763286541</v>
      </c>
      <c r="M941" s="2">
        <f t="shared" si="7"/>
        <v>0.2043649101</v>
      </c>
      <c r="N941" s="2">
        <f t="shared" si="8"/>
        <v>0.033989269</v>
      </c>
      <c r="O941" s="2"/>
      <c r="P941" s="2"/>
      <c r="Q941" s="2"/>
      <c r="R941" s="4"/>
    </row>
    <row r="942" ht="14.25" customHeight="1">
      <c r="K942" s="2">
        <v>0.0094</v>
      </c>
      <c r="L942" s="2">
        <f t="shared" si="6"/>
        <v>0.0001767043878</v>
      </c>
      <c r="M942" s="2">
        <f t="shared" si="7"/>
        <v>0.2048003854</v>
      </c>
      <c r="N942" s="2">
        <f t="shared" si="8"/>
        <v>0.03403775648</v>
      </c>
      <c r="O942" s="2"/>
      <c r="P942" s="2"/>
      <c r="Q942" s="2"/>
      <c r="R942" s="4"/>
    </row>
    <row r="943" ht="14.25" customHeight="1">
      <c r="K943" s="2">
        <v>0.00941</v>
      </c>
      <c r="L943" s="2">
        <f t="shared" si="6"/>
        <v>0.0001770805212</v>
      </c>
      <c r="M943" s="2">
        <f t="shared" si="7"/>
        <v>0.2052363241</v>
      </c>
      <c r="N943" s="2">
        <f t="shared" si="8"/>
        <v>0.03408628318</v>
      </c>
      <c r="O943" s="2"/>
      <c r="P943" s="2"/>
      <c r="Q943" s="2"/>
      <c r="R943" s="4"/>
    </row>
    <row r="944" ht="14.25" customHeight="1">
      <c r="K944" s="2">
        <v>0.00942</v>
      </c>
      <c r="L944" s="2">
        <f t="shared" si="6"/>
        <v>0.0001774570545</v>
      </c>
      <c r="M944" s="2">
        <f t="shared" si="7"/>
        <v>0.2056727262</v>
      </c>
      <c r="N944" s="2">
        <f t="shared" si="8"/>
        <v>0.03413484916</v>
      </c>
      <c r="O944" s="2"/>
      <c r="P944" s="2"/>
      <c r="Q944" s="2"/>
      <c r="R944" s="4"/>
    </row>
    <row r="945" ht="14.25" customHeight="1">
      <c r="K945" s="2">
        <v>0.00943</v>
      </c>
      <c r="L945" s="2">
        <f t="shared" si="6"/>
        <v>0.0001778339875</v>
      </c>
      <c r="M945" s="2">
        <f t="shared" si="7"/>
        <v>0.2061095916</v>
      </c>
      <c r="N945" s="2">
        <f t="shared" si="8"/>
        <v>0.03418345446</v>
      </c>
      <c r="O945" s="2"/>
      <c r="P945" s="2"/>
      <c r="Q945" s="2"/>
      <c r="R945" s="4"/>
    </row>
    <row r="946" ht="14.25" customHeight="1">
      <c r="K946" s="2">
        <v>0.00944</v>
      </c>
      <c r="L946" s="2">
        <f t="shared" si="6"/>
        <v>0.0001782113204</v>
      </c>
      <c r="M946" s="2">
        <f t="shared" si="7"/>
        <v>0.2065469203</v>
      </c>
      <c r="N946" s="2">
        <f t="shared" si="8"/>
        <v>0.03423209911</v>
      </c>
      <c r="O946" s="2"/>
      <c r="P946" s="2"/>
      <c r="Q946" s="2"/>
      <c r="R946" s="4"/>
    </row>
    <row r="947" ht="14.25" customHeight="1">
      <c r="K947" s="2">
        <v>0.00945</v>
      </c>
      <c r="L947" s="2">
        <f t="shared" si="6"/>
        <v>0.000178589053</v>
      </c>
      <c r="M947" s="2">
        <f t="shared" si="7"/>
        <v>0.2069847124</v>
      </c>
      <c r="N947" s="2">
        <f t="shared" si="8"/>
        <v>0.03428078315</v>
      </c>
      <c r="O947" s="2"/>
      <c r="P947" s="2"/>
      <c r="Q947" s="2"/>
      <c r="R947" s="4"/>
    </row>
    <row r="948" ht="14.25" customHeight="1">
      <c r="K948" s="2">
        <v>0.00946</v>
      </c>
      <c r="L948" s="2">
        <f t="shared" si="6"/>
        <v>0.0001789671854</v>
      </c>
      <c r="M948" s="2">
        <f t="shared" si="7"/>
        <v>0.2074229678</v>
      </c>
      <c r="N948" s="2">
        <f t="shared" si="8"/>
        <v>0.03432950664</v>
      </c>
      <c r="O948" s="2"/>
      <c r="P948" s="2"/>
      <c r="Q948" s="2"/>
      <c r="R948" s="4"/>
    </row>
    <row r="949" ht="14.25" customHeight="1">
      <c r="K949" s="2">
        <v>0.00947</v>
      </c>
      <c r="L949" s="2">
        <f t="shared" si="6"/>
        <v>0.0001793457176</v>
      </c>
      <c r="M949" s="2">
        <f t="shared" si="7"/>
        <v>0.2078616866</v>
      </c>
      <c r="N949" s="2">
        <f t="shared" si="8"/>
        <v>0.03437826961</v>
      </c>
      <c r="O949" s="2"/>
      <c r="P949" s="2"/>
      <c r="Q949" s="2"/>
      <c r="R949" s="4"/>
    </row>
    <row r="950" ht="14.25" customHeight="1">
      <c r="K950" s="2">
        <v>0.00948</v>
      </c>
      <c r="L950" s="2">
        <f t="shared" si="6"/>
        <v>0.0001797246495</v>
      </c>
      <c r="M950" s="2">
        <f t="shared" si="7"/>
        <v>0.2083008688</v>
      </c>
      <c r="N950" s="2">
        <f t="shared" si="8"/>
        <v>0.0344270721</v>
      </c>
      <c r="O950" s="2"/>
      <c r="P950" s="2"/>
      <c r="Q950" s="2"/>
      <c r="R950" s="4"/>
    </row>
    <row r="951" ht="14.25" customHeight="1">
      <c r="K951" s="2">
        <v>0.00949</v>
      </c>
      <c r="L951" s="2">
        <f t="shared" si="6"/>
        <v>0.0001801039813</v>
      </c>
      <c r="M951" s="2">
        <f t="shared" si="7"/>
        <v>0.2087405143</v>
      </c>
      <c r="N951" s="2">
        <f t="shared" si="8"/>
        <v>0.03447591415</v>
      </c>
      <c r="O951" s="2"/>
      <c r="P951" s="2"/>
      <c r="Q951" s="2"/>
      <c r="R951" s="4"/>
    </row>
    <row r="952" ht="14.25" customHeight="1">
      <c r="K952" s="2">
        <v>0.0095</v>
      </c>
      <c r="L952" s="2">
        <f t="shared" si="6"/>
        <v>0.0001804837128</v>
      </c>
      <c r="M952" s="2">
        <f t="shared" si="7"/>
        <v>0.2091806232</v>
      </c>
      <c r="N952" s="2">
        <f t="shared" si="8"/>
        <v>0.03452479581</v>
      </c>
      <c r="O952" s="2"/>
      <c r="P952" s="2"/>
      <c r="Q952" s="2"/>
      <c r="R952" s="4"/>
    </row>
    <row r="953" ht="14.25" customHeight="1">
      <c r="K953" s="2">
        <v>0.00951</v>
      </c>
      <c r="L953" s="2">
        <f t="shared" si="6"/>
        <v>0.0001808638441</v>
      </c>
      <c r="M953" s="2">
        <f t="shared" si="7"/>
        <v>0.2096211954</v>
      </c>
      <c r="N953" s="2">
        <f t="shared" si="8"/>
        <v>0.03457371712</v>
      </c>
      <c r="O953" s="2"/>
      <c r="P953" s="2"/>
      <c r="Q953" s="2"/>
      <c r="R953" s="4"/>
    </row>
    <row r="954" ht="14.25" customHeight="1">
      <c r="K954" s="2">
        <v>0.00952</v>
      </c>
      <c r="L954" s="2">
        <f t="shared" si="6"/>
        <v>0.0001812443752</v>
      </c>
      <c r="M954" s="2">
        <f t="shared" si="7"/>
        <v>0.2100622309</v>
      </c>
      <c r="N954" s="2">
        <f t="shared" si="8"/>
        <v>0.03462267812</v>
      </c>
      <c r="O954" s="2"/>
      <c r="P954" s="2"/>
      <c r="Q954" s="2"/>
      <c r="R954" s="4"/>
    </row>
    <row r="955" ht="14.25" customHeight="1">
      <c r="K955" s="2">
        <v>0.00953</v>
      </c>
      <c r="L955" s="2">
        <f t="shared" si="6"/>
        <v>0.0001816253061</v>
      </c>
      <c r="M955" s="2">
        <f t="shared" si="7"/>
        <v>0.2105037298</v>
      </c>
      <c r="N955" s="2">
        <f t="shared" si="8"/>
        <v>0.03467167884</v>
      </c>
      <c r="O955" s="2"/>
      <c r="P955" s="2"/>
      <c r="Q955" s="2"/>
      <c r="R955" s="4"/>
    </row>
    <row r="956" ht="14.25" customHeight="1">
      <c r="K956" s="2">
        <v>0.00954</v>
      </c>
      <c r="L956" s="2">
        <f t="shared" si="6"/>
        <v>0.0001820066368</v>
      </c>
      <c r="M956" s="2">
        <f t="shared" si="7"/>
        <v>0.210945692</v>
      </c>
      <c r="N956" s="2">
        <f t="shared" si="8"/>
        <v>0.03472071934</v>
      </c>
      <c r="O956" s="2"/>
      <c r="P956" s="2"/>
      <c r="Q956" s="2"/>
      <c r="R956" s="4"/>
    </row>
    <row r="957" ht="14.25" customHeight="1">
      <c r="K957" s="2">
        <v>0.00955</v>
      </c>
      <c r="L957" s="2">
        <f t="shared" si="6"/>
        <v>0.0001823883672</v>
      </c>
      <c r="M957" s="2">
        <f t="shared" si="7"/>
        <v>0.2113881176</v>
      </c>
      <c r="N957" s="2">
        <f t="shared" si="8"/>
        <v>0.03476979966</v>
      </c>
      <c r="O957" s="2"/>
      <c r="P957" s="2"/>
      <c r="Q957" s="2"/>
      <c r="R957" s="4"/>
    </row>
    <row r="958" ht="14.25" customHeight="1">
      <c r="K958" s="2">
        <v>0.00956</v>
      </c>
      <c r="L958" s="2">
        <f t="shared" si="6"/>
        <v>0.0001827704975</v>
      </c>
      <c r="M958" s="2">
        <f t="shared" si="7"/>
        <v>0.2118310066</v>
      </c>
      <c r="N958" s="2">
        <f t="shared" si="8"/>
        <v>0.03481891983</v>
      </c>
      <c r="O958" s="2"/>
      <c r="P958" s="2"/>
      <c r="Q958" s="2"/>
      <c r="R958" s="4"/>
    </row>
    <row r="959" ht="14.25" customHeight="1">
      <c r="K959" s="2">
        <v>0.00957</v>
      </c>
      <c r="L959" s="2">
        <f t="shared" si="6"/>
        <v>0.0001831530275</v>
      </c>
      <c r="M959" s="2">
        <f t="shared" si="7"/>
        <v>0.2122743589</v>
      </c>
      <c r="N959" s="2">
        <f t="shared" si="8"/>
        <v>0.0348680799</v>
      </c>
      <c r="O959" s="2"/>
      <c r="P959" s="2"/>
      <c r="Q959" s="2"/>
      <c r="R959" s="4"/>
    </row>
    <row r="960" ht="14.25" customHeight="1">
      <c r="K960" s="2">
        <v>0.00958</v>
      </c>
      <c r="L960" s="2">
        <f t="shared" si="6"/>
        <v>0.0001835359573</v>
      </c>
      <c r="M960" s="2">
        <f t="shared" si="7"/>
        <v>0.2127181745</v>
      </c>
      <c r="N960" s="2">
        <f t="shared" si="8"/>
        <v>0.0349172799</v>
      </c>
      <c r="O960" s="2"/>
      <c r="P960" s="2"/>
      <c r="Q960" s="2"/>
      <c r="R960" s="4"/>
    </row>
    <row r="961" ht="14.25" customHeight="1">
      <c r="K961" s="2">
        <v>0.00959</v>
      </c>
      <c r="L961" s="2">
        <f t="shared" si="6"/>
        <v>0.0001839192868</v>
      </c>
      <c r="M961" s="2">
        <f t="shared" si="7"/>
        <v>0.2131624535</v>
      </c>
      <c r="N961" s="2">
        <f t="shared" si="8"/>
        <v>0.03496651989</v>
      </c>
      <c r="O961" s="2"/>
      <c r="P961" s="2"/>
      <c r="Q961" s="2"/>
      <c r="R961" s="4"/>
    </row>
    <row r="962" ht="14.25" customHeight="1">
      <c r="K962" s="2">
        <v>0.0096</v>
      </c>
      <c r="L962" s="2">
        <f t="shared" si="6"/>
        <v>0.0001843030162</v>
      </c>
      <c r="M962" s="2">
        <f t="shared" si="7"/>
        <v>0.2136071958</v>
      </c>
      <c r="N962" s="2">
        <f t="shared" si="8"/>
        <v>0.0350157999</v>
      </c>
      <c r="O962" s="2"/>
      <c r="P962" s="2"/>
      <c r="Q962" s="2"/>
      <c r="R962" s="4"/>
    </row>
    <row r="963" ht="14.25" customHeight="1">
      <c r="K963" s="2">
        <v>0.00961</v>
      </c>
      <c r="L963" s="2">
        <f t="shared" si="6"/>
        <v>0.0001846871453</v>
      </c>
      <c r="M963" s="2">
        <f t="shared" si="7"/>
        <v>0.2140524014</v>
      </c>
      <c r="N963" s="2">
        <f t="shared" si="8"/>
        <v>0.03506511998</v>
      </c>
      <c r="O963" s="2"/>
      <c r="P963" s="2"/>
      <c r="Q963" s="2"/>
      <c r="R963" s="4"/>
    </row>
    <row r="964" ht="14.25" customHeight="1">
      <c r="K964" s="2">
        <v>0.00962</v>
      </c>
      <c r="L964" s="2">
        <f t="shared" si="6"/>
        <v>0.0001850716742</v>
      </c>
      <c r="M964" s="2">
        <f t="shared" si="7"/>
        <v>0.2144980704</v>
      </c>
      <c r="N964" s="2">
        <f t="shared" si="8"/>
        <v>0.03511448016</v>
      </c>
      <c r="O964" s="2"/>
      <c r="P964" s="2"/>
      <c r="Q964" s="2"/>
      <c r="R964" s="4"/>
    </row>
    <row r="965" ht="14.25" customHeight="1">
      <c r="K965" s="2">
        <v>0.00963</v>
      </c>
      <c r="L965" s="2">
        <f t="shared" si="6"/>
        <v>0.0001854566029</v>
      </c>
      <c r="M965" s="2">
        <f t="shared" si="7"/>
        <v>0.2149442028</v>
      </c>
      <c r="N965" s="2">
        <f t="shared" si="8"/>
        <v>0.03516388048</v>
      </c>
      <c r="O965" s="2"/>
      <c r="P965" s="2"/>
      <c r="Q965" s="2"/>
      <c r="R965" s="4"/>
    </row>
    <row r="966" ht="14.25" customHeight="1">
      <c r="K966" s="2">
        <v>0.00964</v>
      </c>
      <c r="L966" s="2">
        <f t="shared" si="6"/>
        <v>0.0001858419314</v>
      </c>
      <c r="M966" s="2">
        <f t="shared" si="7"/>
        <v>0.2153907985</v>
      </c>
      <c r="N966" s="2">
        <f t="shared" si="8"/>
        <v>0.035213321</v>
      </c>
      <c r="O966" s="2"/>
      <c r="P966" s="2"/>
      <c r="Q966" s="2"/>
      <c r="R966" s="4"/>
    </row>
    <row r="967" ht="14.25" customHeight="1">
      <c r="K967" s="2">
        <v>0.00965</v>
      </c>
      <c r="L967" s="2">
        <f t="shared" si="6"/>
        <v>0.0001862276596</v>
      </c>
      <c r="M967" s="2">
        <f t="shared" si="7"/>
        <v>0.2158378575</v>
      </c>
      <c r="N967" s="2">
        <f t="shared" si="8"/>
        <v>0.03526280175</v>
      </c>
      <c r="O967" s="2"/>
      <c r="P967" s="2"/>
      <c r="Q967" s="2"/>
      <c r="R967" s="4"/>
    </row>
    <row r="968" ht="14.25" customHeight="1">
      <c r="K968" s="2">
        <v>0.00966</v>
      </c>
      <c r="L968" s="2">
        <f t="shared" si="6"/>
        <v>0.0001866137876</v>
      </c>
      <c r="M968" s="2">
        <f t="shared" si="7"/>
        <v>0.2162853799</v>
      </c>
      <c r="N968" s="2">
        <f t="shared" si="8"/>
        <v>0.03531232277</v>
      </c>
      <c r="O968" s="2"/>
      <c r="P968" s="2"/>
      <c r="Q968" s="2"/>
      <c r="R968" s="4"/>
    </row>
    <row r="969" ht="14.25" customHeight="1">
      <c r="K969" s="2">
        <v>0.00967</v>
      </c>
      <c r="L969" s="2">
        <f t="shared" si="6"/>
        <v>0.0001870003154</v>
      </c>
      <c r="M969" s="2">
        <f t="shared" si="7"/>
        <v>0.2167333656</v>
      </c>
      <c r="N969" s="2">
        <f t="shared" si="8"/>
        <v>0.0353618841</v>
      </c>
      <c r="O969" s="2"/>
      <c r="P969" s="2"/>
      <c r="Q969" s="2"/>
      <c r="R969" s="4"/>
    </row>
    <row r="970" ht="14.25" customHeight="1">
      <c r="K970" s="2">
        <v>0.00968</v>
      </c>
      <c r="L970" s="2">
        <f t="shared" si="6"/>
        <v>0.000187387243</v>
      </c>
      <c r="M970" s="2">
        <f t="shared" si="7"/>
        <v>0.2171818146</v>
      </c>
      <c r="N970" s="2">
        <f t="shared" si="8"/>
        <v>0.03541148579</v>
      </c>
      <c r="O970" s="2"/>
      <c r="P970" s="2"/>
      <c r="Q970" s="2"/>
      <c r="R970" s="4"/>
    </row>
    <row r="971" ht="14.25" customHeight="1">
      <c r="K971" s="2">
        <v>0.00969</v>
      </c>
      <c r="L971" s="2">
        <f t="shared" si="6"/>
        <v>0.0001877745704</v>
      </c>
      <c r="M971" s="2">
        <f t="shared" si="7"/>
        <v>0.217630727</v>
      </c>
      <c r="N971" s="2">
        <f t="shared" si="8"/>
        <v>0.03546112788</v>
      </c>
      <c r="O971" s="2"/>
      <c r="P971" s="2"/>
      <c r="Q971" s="2"/>
      <c r="R971" s="4"/>
    </row>
    <row r="972" ht="14.25" customHeight="1">
      <c r="K972" s="2">
        <v>0.0097</v>
      </c>
      <c r="L972" s="2">
        <f t="shared" si="6"/>
        <v>0.0001881622975</v>
      </c>
      <c r="M972" s="2">
        <f t="shared" si="7"/>
        <v>0.2180801028</v>
      </c>
      <c r="N972" s="2">
        <f t="shared" si="8"/>
        <v>0.0355108104</v>
      </c>
      <c r="O972" s="2"/>
      <c r="P972" s="2"/>
      <c r="Q972" s="2"/>
      <c r="R972" s="4"/>
    </row>
    <row r="973" ht="14.25" customHeight="1">
      <c r="K973" s="2">
        <v>0.00971</v>
      </c>
      <c r="L973" s="2">
        <f t="shared" si="6"/>
        <v>0.0001885504244</v>
      </c>
      <c r="M973" s="2">
        <f t="shared" si="7"/>
        <v>0.2185299418</v>
      </c>
      <c r="N973" s="2">
        <f t="shared" si="8"/>
        <v>0.03556053341</v>
      </c>
      <c r="O973" s="2"/>
      <c r="P973" s="2"/>
      <c r="Q973" s="2"/>
      <c r="R973" s="4"/>
    </row>
    <row r="974" ht="14.25" customHeight="1">
      <c r="K974" s="2">
        <v>0.00972</v>
      </c>
      <c r="L974" s="2">
        <f t="shared" si="6"/>
        <v>0.000188938951</v>
      </c>
      <c r="M974" s="2">
        <f t="shared" si="7"/>
        <v>0.2189802443</v>
      </c>
      <c r="N974" s="2">
        <f t="shared" si="8"/>
        <v>0.03561029694</v>
      </c>
      <c r="O974" s="2"/>
      <c r="P974" s="2"/>
      <c r="Q974" s="2"/>
      <c r="R974" s="4"/>
    </row>
    <row r="975" ht="14.25" customHeight="1">
      <c r="K975" s="2">
        <v>0.00973</v>
      </c>
      <c r="L975" s="2">
        <f t="shared" si="6"/>
        <v>0.0001893278775</v>
      </c>
      <c r="M975" s="2">
        <f t="shared" si="7"/>
        <v>0.21943101</v>
      </c>
      <c r="N975" s="2">
        <f t="shared" si="8"/>
        <v>0.03566010103</v>
      </c>
      <c r="O975" s="2"/>
      <c r="P975" s="2"/>
      <c r="Q975" s="2"/>
      <c r="R975" s="4"/>
    </row>
    <row r="976" ht="14.25" customHeight="1">
      <c r="K976" s="2">
        <v>0.00974</v>
      </c>
      <c r="L976" s="2">
        <f t="shared" si="6"/>
        <v>0.0001897172037</v>
      </c>
      <c r="M976" s="2">
        <f t="shared" si="7"/>
        <v>0.2198822391</v>
      </c>
      <c r="N976" s="2">
        <f t="shared" si="8"/>
        <v>0.03570994573</v>
      </c>
      <c r="O976" s="2"/>
      <c r="P976" s="2"/>
      <c r="Q976" s="2"/>
      <c r="R976" s="4"/>
    </row>
    <row r="977" ht="14.25" customHeight="1">
      <c r="K977" s="2">
        <v>0.00975</v>
      </c>
      <c r="L977" s="2">
        <f t="shared" si="6"/>
        <v>0.0001901069297</v>
      </c>
      <c r="M977" s="2">
        <f t="shared" si="7"/>
        <v>0.2203339315</v>
      </c>
      <c r="N977" s="2">
        <f t="shared" si="8"/>
        <v>0.03575983107</v>
      </c>
      <c r="O977" s="2"/>
      <c r="P977" s="2"/>
      <c r="Q977" s="2"/>
      <c r="R977" s="4"/>
    </row>
    <row r="978" ht="14.25" customHeight="1">
      <c r="K978" s="2">
        <v>0.00976</v>
      </c>
      <c r="L978" s="2">
        <f t="shared" si="6"/>
        <v>0.0001904970554</v>
      </c>
      <c r="M978" s="2">
        <f t="shared" si="7"/>
        <v>0.2207860873</v>
      </c>
      <c r="N978" s="2">
        <f t="shared" si="8"/>
        <v>0.03580975711</v>
      </c>
      <c r="O978" s="2"/>
      <c r="P978" s="2"/>
      <c r="Q978" s="2"/>
      <c r="R978" s="4"/>
    </row>
    <row r="979" ht="14.25" customHeight="1">
      <c r="K979" s="2">
        <v>0.00977</v>
      </c>
      <c r="L979" s="2">
        <f t="shared" si="6"/>
        <v>0.000190887581</v>
      </c>
      <c r="M979" s="2">
        <f t="shared" si="7"/>
        <v>0.2212387063</v>
      </c>
      <c r="N979" s="2">
        <f t="shared" si="8"/>
        <v>0.03585972387</v>
      </c>
      <c r="O979" s="2"/>
      <c r="P979" s="2"/>
      <c r="Q979" s="2"/>
      <c r="R979" s="4"/>
    </row>
    <row r="980" ht="14.25" customHeight="1">
      <c r="K980" s="2">
        <v>0.00978</v>
      </c>
      <c r="L980" s="2">
        <f t="shared" si="6"/>
        <v>0.0001912785063</v>
      </c>
      <c r="M980" s="2">
        <f t="shared" si="7"/>
        <v>0.2216917888</v>
      </c>
      <c r="N980" s="2">
        <f t="shared" si="8"/>
        <v>0.03590973141</v>
      </c>
      <c r="O980" s="2"/>
      <c r="P980" s="2"/>
      <c r="Q980" s="2"/>
      <c r="R980" s="4"/>
    </row>
    <row r="981" ht="14.25" customHeight="1">
      <c r="K981" s="2">
        <v>0.00979</v>
      </c>
      <c r="L981" s="2">
        <f t="shared" si="6"/>
        <v>0.0001916698313</v>
      </c>
      <c r="M981" s="2">
        <f t="shared" si="7"/>
        <v>0.2221453345</v>
      </c>
      <c r="N981" s="2">
        <f t="shared" si="8"/>
        <v>0.03595977976</v>
      </c>
      <c r="O981" s="2"/>
      <c r="P981" s="2"/>
      <c r="Q981" s="2"/>
      <c r="R981" s="4"/>
    </row>
    <row r="982" ht="14.25" customHeight="1">
      <c r="K982" s="2">
        <v>0.0098</v>
      </c>
      <c r="L982" s="2">
        <f t="shared" si="6"/>
        <v>0.0001920615562</v>
      </c>
      <c r="M982" s="2">
        <f t="shared" si="7"/>
        <v>0.2225993436</v>
      </c>
      <c r="N982" s="2">
        <f t="shared" si="8"/>
        <v>0.03600986897</v>
      </c>
      <c r="O982" s="2"/>
      <c r="P982" s="2"/>
      <c r="Q982" s="2"/>
      <c r="R982" s="4"/>
    </row>
    <row r="983" ht="14.25" customHeight="1">
      <c r="K983" s="2">
        <v>0.00981</v>
      </c>
      <c r="L983" s="2">
        <f t="shared" si="6"/>
        <v>0.0001924536808</v>
      </c>
      <c r="M983" s="2">
        <f t="shared" si="7"/>
        <v>0.223053816</v>
      </c>
      <c r="N983" s="2">
        <f t="shared" si="8"/>
        <v>0.03605999907</v>
      </c>
      <c r="O983" s="2"/>
      <c r="P983" s="2"/>
      <c r="Q983" s="2"/>
      <c r="R983" s="4"/>
    </row>
    <row r="984" ht="14.25" customHeight="1">
      <c r="K984" s="2">
        <v>0.00982</v>
      </c>
      <c r="L984" s="2">
        <f t="shared" si="6"/>
        <v>0.0001928462052</v>
      </c>
      <c r="M984" s="2">
        <f t="shared" si="7"/>
        <v>0.2235087518</v>
      </c>
      <c r="N984" s="2">
        <f t="shared" si="8"/>
        <v>0.03611017012</v>
      </c>
      <c r="O984" s="2"/>
      <c r="P984" s="2"/>
      <c r="Q984" s="2"/>
      <c r="R984" s="4"/>
    </row>
    <row r="985" ht="14.25" customHeight="1">
      <c r="K985" s="2">
        <v>0.00983</v>
      </c>
      <c r="L985" s="2">
        <f t="shared" si="6"/>
        <v>0.0001932391293</v>
      </c>
      <c r="M985" s="2">
        <f t="shared" si="7"/>
        <v>0.2239641509</v>
      </c>
      <c r="N985" s="2">
        <f t="shared" si="8"/>
        <v>0.03616038214</v>
      </c>
      <c r="O985" s="2"/>
      <c r="P985" s="2"/>
      <c r="Q985" s="2"/>
      <c r="R985" s="4"/>
    </row>
    <row r="986" ht="14.25" customHeight="1">
      <c r="K986" s="2">
        <v>0.00984</v>
      </c>
      <c r="L986" s="2">
        <f t="shared" si="6"/>
        <v>0.0001936324532</v>
      </c>
      <c r="M986" s="2">
        <f t="shared" si="7"/>
        <v>0.2244200133</v>
      </c>
      <c r="N986" s="2">
        <f t="shared" si="8"/>
        <v>0.03621063519</v>
      </c>
      <c r="O986" s="2"/>
      <c r="P986" s="2"/>
      <c r="Q986" s="2"/>
      <c r="R986" s="4"/>
    </row>
    <row r="987" ht="14.25" customHeight="1">
      <c r="K987" s="2">
        <v>0.00985</v>
      </c>
      <c r="L987" s="2">
        <f t="shared" si="6"/>
        <v>0.0001940261769</v>
      </c>
      <c r="M987" s="2">
        <f t="shared" si="7"/>
        <v>0.2248763391</v>
      </c>
      <c r="N987" s="2">
        <f t="shared" si="8"/>
        <v>0.03626092929</v>
      </c>
      <c r="O987" s="2"/>
      <c r="P987" s="2"/>
      <c r="Q987" s="2"/>
      <c r="R987" s="4"/>
    </row>
    <row r="988" ht="14.25" customHeight="1">
      <c r="K988" s="2">
        <v>0.00986</v>
      </c>
      <c r="L988" s="2">
        <f t="shared" si="6"/>
        <v>0.0001944203004</v>
      </c>
      <c r="M988" s="2">
        <f t="shared" si="7"/>
        <v>0.2253331281</v>
      </c>
      <c r="N988" s="2">
        <f t="shared" si="8"/>
        <v>0.03631126451</v>
      </c>
      <c r="O988" s="2"/>
      <c r="P988" s="2"/>
      <c r="Q988" s="2"/>
      <c r="R988" s="4"/>
    </row>
    <row r="989" ht="14.25" customHeight="1">
      <c r="K989" s="2">
        <v>0.00987</v>
      </c>
      <c r="L989" s="2">
        <f t="shared" si="6"/>
        <v>0.0001948148236</v>
      </c>
      <c r="M989" s="2">
        <f t="shared" si="7"/>
        <v>0.2257903805</v>
      </c>
      <c r="N989" s="2">
        <f t="shared" si="8"/>
        <v>0.03636164087</v>
      </c>
      <c r="O989" s="2"/>
      <c r="P989" s="2"/>
      <c r="Q989" s="2"/>
      <c r="R989" s="4"/>
    </row>
    <row r="990" ht="14.25" customHeight="1">
      <c r="K990" s="2">
        <v>0.00988</v>
      </c>
      <c r="L990" s="2">
        <f t="shared" si="6"/>
        <v>0.0001952097466</v>
      </c>
      <c r="M990" s="2">
        <f t="shared" si="7"/>
        <v>0.2262480963</v>
      </c>
      <c r="N990" s="2">
        <f t="shared" si="8"/>
        <v>0.03641205842</v>
      </c>
      <c r="O990" s="2"/>
      <c r="P990" s="2"/>
      <c r="Q990" s="2"/>
      <c r="R990" s="4"/>
    </row>
    <row r="991" ht="14.25" customHeight="1">
      <c r="K991" s="2">
        <v>0.00989</v>
      </c>
      <c r="L991" s="2">
        <f t="shared" si="6"/>
        <v>0.0001956050693</v>
      </c>
      <c r="M991" s="2">
        <f t="shared" si="7"/>
        <v>0.2267062754</v>
      </c>
      <c r="N991" s="2">
        <f t="shared" si="8"/>
        <v>0.0364625172</v>
      </c>
      <c r="O991" s="2"/>
      <c r="P991" s="2"/>
      <c r="Q991" s="2"/>
      <c r="R991" s="4"/>
    </row>
    <row r="992" ht="14.25" customHeight="1">
      <c r="K992" s="2">
        <v>0.0099</v>
      </c>
      <c r="L992" s="2">
        <f t="shared" si="6"/>
        <v>0.0001960007918</v>
      </c>
      <c r="M992" s="2">
        <f t="shared" si="7"/>
        <v>0.2271649177</v>
      </c>
      <c r="N992" s="2">
        <f t="shared" si="8"/>
        <v>0.03651301726</v>
      </c>
      <c r="O992" s="2"/>
      <c r="P992" s="2"/>
      <c r="Q992" s="2"/>
      <c r="R992" s="4"/>
    </row>
    <row r="993" ht="14.25" customHeight="1">
      <c r="K993" s="2">
        <v>0.00991</v>
      </c>
      <c r="L993" s="2">
        <f t="shared" si="6"/>
        <v>0.0001963969141</v>
      </c>
      <c r="M993" s="2">
        <f t="shared" si="7"/>
        <v>0.2276240235</v>
      </c>
      <c r="N993" s="2">
        <f t="shared" si="8"/>
        <v>0.03656355862</v>
      </c>
      <c r="O993" s="2"/>
      <c r="P993" s="2"/>
      <c r="Q993" s="2"/>
      <c r="R993" s="4"/>
    </row>
    <row r="994" ht="14.25" customHeight="1">
      <c r="K994" s="2">
        <v>0.00992</v>
      </c>
      <c r="L994" s="2">
        <f t="shared" si="6"/>
        <v>0.0001967934362</v>
      </c>
      <c r="M994" s="2">
        <f t="shared" si="7"/>
        <v>0.2280835925</v>
      </c>
      <c r="N994" s="2">
        <f t="shared" si="8"/>
        <v>0.03661414135</v>
      </c>
      <c r="O994" s="2"/>
      <c r="P994" s="2"/>
      <c r="Q994" s="2"/>
      <c r="R994" s="4"/>
    </row>
    <row r="995" ht="14.25" customHeight="1">
      <c r="K995" s="2">
        <v>0.00993</v>
      </c>
      <c r="L995" s="2">
        <f t="shared" si="6"/>
        <v>0.000197190358</v>
      </c>
      <c r="M995" s="2">
        <f t="shared" si="7"/>
        <v>0.2285436249</v>
      </c>
      <c r="N995" s="2">
        <f t="shared" si="8"/>
        <v>0.03666476546</v>
      </c>
      <c r="O995" s="2"/>
      <c r="P995" s="2"/>
      <c r="Q995" s="2"/>
      <c r="R995" s="4"/>
    </row>
    <row r="996" ht="14.25" customHeight="1">
      <c r="K996" s="2">
        <v>0.00994</v>
      </c>
      <c r="L996" s="2">
        <f t="shared" si="6"/>
        <v>0.0001975876796</v>
      </c>
      <c r="M996" s="2">
        <f t="shared" si="7"/>
        <v>0.2290041206</v>
      </c>
      <c r="N996" s="2">
        <f t="shared" si="8"/>
        <v>0.03671543102</v>
      </c>
      <c r="O996" s="2"/>
      <c r="P996" s="2"/>
      <c r="Q996" s="2"/>
      <c r="R996" s="4"/>
    </row>
    <row r="997" ht="14.25" customHeight="1">
      <c r="K997" s="2">
        <v>0.00995</v>
      </c>
      <c r="L997" s="2">
        <f t="shared" si="6"/>
        <v>0.0001979854009</v>
      </c>
      <c r="M997" s="2">
        <f t="shared" si="7"/>
        <v>0.2294650796</v>
      </c>
      <c r="N997" s="2">
        <f t="shared" si="8"/>
        <v>0.03676613806</v>
      </c>
      <c r="O997" s="2"/>
      <c r="P997" s="2"/>
      <c r="Q997" s="2"/>
      <c r="R997" s="4"/>
    </row>
    <row r="998" ht="14.25" customHeight="1">
      <c r="K998" s="2">
        <v>0.00996</v>
      </c>
      <c r="L998" s="2">
        <f t="shared" si="6"/>
        <v>0.000198383522</v>
      </c>
      <c r="M998" s="2">
        <f t="shared" si="7"/>
        <v>0.229926502</v>
      </c>
      <c r="N998" s="2">
        <f t="shared" si="8"/>
        <v>0.03681688662</v>
      </c>
      <c r="O998" s="2"/>
      <c r="P998" s="2"/>
      <c r="Q998" s="2"/>
      <c r="R998" s="4"/>
    </row>
    <row r="999" ht="14.25" customHeight="1">
      <c r="K999" s="2">
        <v>0.00997</v>
      </c>
      <c r="L999" s="2">
        <f t="shared" si="6"/>
        <v>0.0001987820428</v>
      </c>
      <c r="M999" s="2">
        <f t="shared" si="7"/>
        <v>0.2303883877</v>
      </c>
      <c r="N999" s="2">
        <f t="shared" si="8"/>
        <v>0.03686767674</v>
      </c>
      <c r="O999" s="2"/>
      <c r="P999" s="2"/>
      <c r="Q999" s="2"/>
      <c r="R999" s="4"/>
    </row>
    <row r="1000" ht="14.25" customHeight="1">
      <c r="K1000" s="2">
        <v>0.00998</v>
      </c>
      <c r="L1000" s="2">
        <f t="shared" si="6"/>
        <v>0.0001991809635</v>
      </c>
      <c r="M1000" s="2">
        <f t="shared" si="7"/>
        <v>0.2308507367</v>
      </c>
      <c r="N1000" s="2">
        <f t="shared" si="8"/>
        <v>0.03691850847</v>
      </c>
      <c r="O1000" s="2"/>
      <c r="P1000" s="2"/>
      <c r="Q1000" s="2"/>
      <c r="R1000" s="4"/>
    </row>
    <row r="1001" ht="14.25" customHeight="1">
      <c r="K1001" s="2">
        <v>0.00999</v>
      </c>
      <c r="L1001" s="2">
        <f t="shared" si="6"/>
        <v>0.0001995802839</v>
      </c>
      <c r="M1001" s="2">
        <f t="shared" si="7"/>
        <v>0.231313549</v>
      </c>
      <c r="N1001" s="2">
        <f t="shared" si="8"/>
        <v>0.03696938185</v>
      </c>
      <c r="O1001" s="2"/>
      <c r="P1001" s="2"/>
      <c r="Q1001" s="2"/>
      <c r="R1001" s="4"/>
    </row>
    <row r="1002" ht="14.25" customHeight="1">
      <c r="K1002" s="2">
        <v>0.01</v>
      </c>
      <c r="L1002" s="2">
        <f t="shared" si="6"/>
        <v>0.000199980004</v>
      </c>
      <c r="M1002" s="2">
        <f t="shared" si="7"/>
        <v>0.2317768246</v>
      </c>
      <c r="N1002" s="2">
        <f t="shared" si="8"/>
        <v>0.03702029691</v>
      </c>
      <c r="O1002" s="2"/>
      <c r="P1002" s="2"/>
      <c r="Q1002" s="2"/>
      <c r="R1002" s="4"/>
    </row>
    <row r="1003" ht="14.25" customHeight="1">
      <c r="K1003" s="2">
        <v>0.01001</v>
      </c>
      <c r="L1003" s="2">
        <f t="shared" si="6"/>
        <v>0.0002003801239</v>
      </c>
      <c r="M1003" s="2">
        <f t="shared" si="7"/>
        <v>0.2322405636</v>
      </c>
      <c r="N1003" s="2">
        <f t="shared" si="8"/>
        <v>0.03707125371</v>
      </c>
      <c r="O1003" s="2"/>
      <c r="P1003" s="2"/>
      <c r="Q1003" s="2"/>
      <c r="R1003" s="4"/>
    </row>
    <row r="1004" ht="14.25" customHeight="1">
      <c r="K1004" s="2">
        <v>0.01002</v>
      </c>
      <c r="L1004" s="2">
        <f t="shared" si="6"/>
        <v>0.0002007806436</v>
      </c>
      <c r="M1004" s="2">
        <f t="shared" si="7"/>
        <v>0.2327047659</v>
      </c>
      <c r="N1004" s="2">
        <f t="shared" si="8"/>
        <v>0.03712225228</v>
      </c>
      <c r="O1004" s="2"/>
      <c r="P1004" s="2"/>
      <c r="Q1004" s="2"/>
      <c r="R1004" s="4"/>
    </row>
    <row r="1005" ht="14.25" customHeight="1">
      <c r="K1005" s="2">
        <v>0.01003</v>
      </c>
      <c r="L1005" s="2">
        <f t="shared" si="6"/>
        <v>0.000201181563</v>
      </c>
      <c r="M1005" s="2">
        <f t="shared" si="7"/>
        <v>0.2331694315</v>
      </c>
      <c r="N1005" s="2">
        <f t="shared" si="8"/>
        <v>0.03717329265</v>
      </c>
      <c r="O1005" s="2"/>
      <c r="P1005" s="2"/>
      <c r="Q1005" s="2"/>
      <c r="R1005" s="4"/>
    </row>
    <row r="1006" ht="14.25" customHeight="1">
      <c r="K1006" s="2">
        <v>0.01004</v>
      </c>
      <c r="L1006" s="2">
        <f t="shared" si="6"/>
        <v>0.0002015828822</v>
      </c>
      <c r="M1006" s="2">
        <f t="shared" si="7"/>
        <v>0.2336345604</v>
      </c>
      <c r="N1006" s="2">
        <f t="shared" si="8"/>
        <v>0.03722437489</v>
      </c>
      <c r="O1006" s="2"/>
      <c r="P1006" s="2"/>
      <c r="Q1006" s="2"/>
      <c r="R1006" s="4"/>
    </row>
    <row r="1007" ht="14.25" customHeight="1">
      <c r="K1007" s="2">
        <v>0.01005</v>
      </c>
      <c r="L1007" s="2">
        <f t="shared" si="6"/>
        <v>0.0002019846011</v>
      </c>
      <c r="M1007" s="2">
        <f t="shared" si="7"/>
        <v>0.2341001527</v>
      </c>
      <c r="N1007" s="2">
        <f t="shared" si="8"/>
        <v>0.03727549902</v>
      </c>
      <c r="O1007" s="2"/>
      <c r="P1007" s="2"/>
      <c r="Q1007" s="2"/>
      <c r="R1007" s="4"/>
    </row>
    <row r="1008" ht="14.25" customHeight="1">
      <c r="K1008" s="2">
        <v>0.01006</v>
      </c>
      <c r="L1008" s="2">
        <f t="shared" si="6"/>
        <v>0.0002023867198</v>
      </c>
      <c r="M1008" s="2">
        <f t="shared" si="7"/>
        <v>0.2345662083</v>
      </c>
      <c r="N1008" s="2">
        <f t="shared" si="8"/>
        <v>0.03732666509</v>
      </c>
      <c r="O1008" s="2"/>
      <c r="P1008" s="2"/>
      <c r="Q1008" s="2"/>
      <c r="R1008" s="4"/>
    </row>
    <row r="1009" ht="14.25" customHeight="1">
      <c r="K1009" s="2">
        <v>0.01007</v>
      </c>
      <c r="L1009" s="2">
        <f t="shared" si="6"/>
        <v>0.0002027892383</v>
      </c>
      <c r="M1009" s="2">
        <f t="shared" si="7"/>
        <v>0.2350327271</v>
      </c>
      <c r="N1009" s="2">
        <f t="shared" si="8"/>
        <v>0.03737787314</v>
      </c>
      <c r="O1009" s="2"/>
      <c r="P1009" s="2"/>
      <c r="Q1009" s="2"/>
      <c r="R1009" s="4"/>
    </row>
    <row r="1010" ht="14.25" customHeight="1">
      <c r="K1010" s="2">
        <v>0.01008</v>
      </c>
      <c r="L1010" s="2">
        <f t="shared" si="6"/>
        <v>0.0002031921565</v>
      </c>
      <c r="M1010" s="2">
        <f t="shared" si="7"/>
        <v>0.2354997094</v>
      </c>
      <c r="N1010" s="2">
        <f t="shared" si="8"/>
        <v>0.03742912321</v>
      </c>
      <c r="O1010" s="2"/>
      <c r="P1010" s="2"/>
      <c r="Q1010" s="2"/>
      <c r="R1010" s="4"/>
    </row>
    <row r="1011" ht="14.25" customHeight="1">
      <c r="K1011" s="2">
        <v>0.01009</v>
      </c>
      <c r="L1011" s="2">
        <f t="shared" si="6"/>
        <v>0.0002035954744</v>
      </c>
      <c r="M1011" s="2">
        <f t="shared" si="7"/>
        <v>0.2359671549</v>
      </c>
      <c r="N1011" s="2">
        <f t="shared" si="8"/>
        <v>0.03748041535</v>
      </c>
      <c r="O1011" s="2"/>
      <c r="P1011" s="2"/>
      <c r="Q1011" s="2"/>
      <c r="R1011" s="4"/>
    </row>
    <row r="1012" ht="14.25" customHeight="1">
      <c r="K1012" s="2">
        <v>0.0101</v>
      </c>
      <c r="L1012" s="2">
        <f t="shared" si="6"/>
        <v>0.0002039991922</v>
      </c>
      <c r="M1012" s="2">
        <f t="shared" si="7"/>
        <v>0.2364350637</v>
      </c>
      <c r="N1012" s="2">
        <f t="shared" si="8"/>
        <v>0.03753174959</v>
      </c>
      <c r="O1012" s="2"/>
      <c r="P1012" s="2"/>
      <c r="Q1012" s="2"/>
      <c r="R1012" s="4"/>
    </row>
    <row r="1013" ht="14.25" customHeight="1">
      <c r="K1013" s="2">
        <v>0.01011</v>
      </c>
      <c r="L1013" s="2">
        <f t="shared" si="6"/>
        <v>0.0002044033096</v>
      </c>
      <c r="M1013" s="2">
        <f t="shared" si="7"/>
        <v>0.2369034359</v>
      </c>
      <c r="N1013" s="2">
        <f t="shared" si="8"/>
        <v>0.03758312598</v>
      </c>
      <c r="O1013" s="2"/>
      <c r="P1013" s="2"/>
      <c r="Q1013" s="2"/>
      <c r="R1013" s="4"/>
    </row>
    <row r="1014" ht="14.25" customHeight="1">
      <c r="K1014" s="2">
        <v>0.01012</v>
      </c>
      <c r="L1014" s="2">
        <f t="shared" si="6"/>
        <v>0.0002048078269</v>
      </c>
      <c r="M1014" s="2">
        <f t="shared" si="7"/>
        <v>0.2373722714</v>
      </c>
      <c r="N1014" s="2">
        <f t="shared" si="8"/>
        <v>0.03763454455</v>
      </c>
      <c r="O1014" s="2"/>
      <c r="P1014" s="2"/>
      <c r="Q1014" s="2"/>
      <c r="R1014" s="4"/>
    </row>
    <row r="1015" ht="14.25" customHeight="1">
      <c r="K1015" s="2">
        <v>0.01013</v>
      </c>
      <c r="L1015" s="2">
        <f t="shared" si="6"/>
        <v>0.0002052127439</v>
      </c>
      <c r="M1015" s="2">
        <f t="shared" si="7"/>
        <v>0.2378415701</v>
      </c>
      <c r="N1015" s="2">
        <f t="shared" si="8"/>
        <v>0.03768600536</v>
      </c>
      <c r="O1015" s="2"/>
      <c r="P1015" s="2"/>
      <c r="Q1015" s="2"/>
      <c r="R1015" s="4"/>
    </row>
    <row r="1016" ht="14.25" customHeight="1">
      <c r="K1016" s="2">
        <v>0.01014</v>
      </c>
      <c r="L1016" s="2">
        <f t="shared" si="6"/>
        <v>0.0002056180606</v>
      </c>
      <c r="M1016" s="2">
        <f t="shared" si="7"/>
        <v>0.2383113322</v>
      </c>
      <c r="N1016" s="2">
        <f t="shared" si="8"/>
        <v>0.03773750843</v>
      </c>
      <c r="O1016" s="2"/>
      <c r="P1016" s="2"/>
      <c r="Q1016" s="2"/>
      <c r="R1016" s="4"/>
    </row>
    <row r="1017" ht="14.25" customHeight="1">
      <c r="K1017" s="2">
        <v>0.01015</v>
      </c>
      <c r="L1017" s="2">
        <f t="shared" si="6"/>
        <v>0.0002060237771</v>
      </c>
      <c r="M1017" s="2">
        <f t="shared" si="7"/>
        <v>0.2387815577</v>
      </c>
      <c r="N1017" s="2">
        <f t="shared" si="8"/>
        <v>0.03778905382</v>
      </c>
      <c r="O1017" s="2"/>
      <c r="P1017" s="2"/>
      <c r="Q1017" s="2"/>
      <c r="R1017" s="4"/>
    </row>
    <row r="1018" ht="14.25" customHeight="1">
      <c r="K1018" s="2">
        <v>0.01016</v>
      </c>
      <c r="L1018" s="2">
        <f t="shared" si="6"/>
        <v>0.0002064298933</v>
      </c>
      <c r="M1018" s="2">
        <f t="shared" si="7"/>
        <v>0.2392522464</v>
      </c>
      <c r="N1018" s="2">
        <f t="shared" si="8"/>
        <v>0.03784064157</v>
      </c>
      <c r="O1018" s="2"/>
      <c r="P1018" s="2"/>
      <c r="Q1018" s="2"/>
      <c r="R1018" s="4"/>
    </row>
    <row r="1019" ht="14.25" customHeight="1">
      <c r="K1019" s="2">
        <v>0.01017</v>
      </c>
      <c r="L1019" s="2">
        <f t="shared" si="6"/>
        <v>0.0002068364093</v>
      </c>
      <c r="M1019" s="2">
        <f t="shared" si="7"/>
        <v>0.2397233984</v>
      </c>
      <c r="N1019" s="2">
        <f t="shared" si="8"/>
        <v>0.03789227171</v>
      </c>
      <c r="O1019" s="2"/>
      <c r="P1019" s="2"/>
      <c r="Q1019" s="2"/>
      <c r="R1019" s="4"/>
    </row>
    <row r="1020" ht="14.25" customHeight="1">
      <c r="K1020" s="2">
        <v>0.01018</v>
      </c>
      <c r="L1020" s="2">
        <f t="shared" si="6"/>
        <v>0.0002072433251</v>
      </c>
      <c r="M1020" s="2">
        <f t="shared" si="7"/>
        <v>0.2401950138</v>
      </c>
      <c r="N1020" s="2">
        <f t="shared" si="8"/>
        <v>0.03794394429</v>
      </c>
      <c r="O1020" s="2"/>
      <c r="P1020" s="2"/>
      <c r="Q1020" s="2"/>
      <c r="R1020" s="4"/>
    </row>
    <row r="1021" ht="14.25" customHeight="1">
      <c r="K1021" s="2">
        <v>0.01019</v>
      </c>
      <c r="L1021" s="2">
        <f t="shared" si="6"/>
        <v>0.0002076506406</v>
      </c>
      <c r="M1021" s="2">
        <f t="shared" si="7"/>
        <v>0.2406670925</v>
      </c>
      <c r="N1021" s="2">
        <f t="shared" si="8"/>
        <v>0.03799565935</v>
      </c>
      <c r="O1021" s="2"/>
      <c r="P1021" s="2"/>
      <c r="Q1021" s="2"/>
      <c r="R1021" s="4"/>
    </row>
    <row r="1022" ht="14.25" customHeight="1">
      <c r="K1022" s="2">
        <v>0.0102</v>
      </c>
      <c r="L1022" s="2">
        <f t="shared" si="6"/>
        <v>0.0002080583559</v>
      </c>
      <c r="M1022" s="2">
        <f t="shared" si="7"/>
        <v>0.2411396344</v>
      </c>
      <c r="N1022" s="2">
        <f t="shared" si="8"/>
        <v>0.03804741693</v>
      </c>
      <c r="O1022" s="2"/>
      <c r="P1022" s="2"/>
      <c r="Q1022" s="2"/>
      <c r="R1022" s="4"/>
    </row>
    <row r="1023" ht="14.25" customHeight="1">
      <c r="K1023" s="2">
        <v>0.01021</v>
      </c>
      <c r="L1023" s="2">
        <f t="shared" si="6"/>
        <v>0.0002084664709</v>
      </c>
      <c r="M1023" s="2">
        <f t="shared" si="7"/>
        <v>0.2416126397</v>
      </c>
      <c r="N1023" s="2">
        <f t="shared" si="8"/>
        <v>0.03809921707</v>
      </c>
      <c r="O1023" s="2"/>
      <c r="P1023" s="2"/>
      <c r="Q1023" s="2"/>
      <c r="R1023" s="4"/>
    </row>
    <row r="1024" ht="14.25" customHeight="1">
      <c r="K1024" s="2">
        <v>0.01022</v>
      </c>
      <c r="L1024" s="2">
        <f t="shared" si="6"/>
        <v>0.0002088749856</v>
      </c>
      <c r="M1024" s="2">
        <f t="shared" si="7"/>
        <v>0.2420861083</v>
      </c>
      <c r="N1024" s="2">
        <f t="shared" si="8"/>
        <v>0.03815105982</v>
      </c>
      <c r="O1024" s="2"/>
      <c r="P1024" s="2"/>
      <c r="Q1024" s="2"/>
      <c r="R1024" s="4"/>
    </row>
    <row r="1025" ht="14.25" customHeight="1">
      <c r="K1025" s="2">
        <v>0.01023</v>
      </c>
      <c r="L1025" s="2">
        <f t="shared" si="6"/>
        <v>0.0002092839001</v>
      </c>
      <c r="M1025" s="2">
        <f t="shared" si="7"/>
        <v>0.2425600402</v>
      </c>
      <c r="N1025" s="2">
        <f t="shared" si="8"/>
        <v>0.03820294522</v>
      </c>
      <c r="O1025" s="2"/>
      <c r="P1025" s="2"/>
      <c r="Q1025" s="2"/>
      <c r="R1025" s="4"/>
    </row>
    <row r="1026" ht="14.25" customHeight="1">
      <c r="K1026" s="2">
        <v>0.01024</v>
      </c>
      <c r="L1026" s="2">
        <f t="shared" si="6"/>
        <v>0.0002096932144</v>
      </c>
      <c r="M1026" s="2">
        <f t="shared" si="7"/>
        <v>0.2430344355</v>
      </c>
      <c r="N1026" s="2">
        <f t="shared" si="8"/>
        <v>0.0382548733</v>
      </c>
      <c r="O1026" s="2"/>
      <c r="P1026" s="2"/>
      <c r="Q1026" s="2"/>
      <c r="R1026" s="4"/>
    </row>
    <row r="1027" ht="14.25" customHeight="1">
      <c r="K1027" s="2">
        <v>0.01025</v>
      </c>
      <c r="L1027" s="2">
        <f t="shared" si="6"/>
        <v>0.0002101029284</v>
      </c>
      <c r="M1027" s="2">
        <f t="shared" si="7"/>
        <v>0.243509294</v>
      </c>
      <c r="N1027" s="2">
        <f t="shared" si="8"/>
        <v>0.03830684411</v>
      </c>
      <c r="O1027" s="2"/>
      <c r="P1027" s="2"/>
      <c r="Q1027" s="2"/>
      <c r="R1027" s="4"/>
    </row>
    <row r="1028" ht="14.25" customHeight="1">
      <c r="K1028" s="2">
        <v>0.01026</v>
      </c>
      <c r="L1028" s="2">
        <f t="shared" si="6"/>
        <v>0.0002105130421</v>
      </c>
      <c r="M1028" s="2">
        <f t="shared" si="7"/>
        <v>0.2439846158</v>
      </c>
      <c r="N1028" s="2">
        <f t="shared" si="8"/>
        <v>0.0383588577</v>
      </c>
      <c r="O1028" s="2"/>
      <c r="P1028" s="2"/>
      <c r="Q1028" s="2"/>
      <c r="R1028" s="4"/>
    </row>
    <row r="1029" ht="14.25" customHeight="1">
      <c r="K1029" s="2">
        <v>0.01027</v>
      </c>
      <c r="L1029" s="2">
        <f t="shared" si="6"/>
        <v>0.0002109235556</v>
      </c>
      <c r="M1029" s="2">
        <f t="shared" si="7"/>
        <v>0.244460401</v>
      </c>
      <c r="N1029" s="2">
        <f t="shared" si="8"/>
        <v>0.03841091409</v>
      </c>
      <c r="O1029" s="2"/>
      <c r="P1029" s="2"/>
      <c r="Q1029" s="2"/>
      <c r="R1029" s="4"/>
    </row>
    <row r="1030" ht="14.25" customHeight="1">
      <c r="K1030" s="2">
        <v>0.01028</v>
      </c>
      <c r="L1030" s="2">
        <f t="shared" si="6"/>
        <v>0.0002113344689</v>
      </c>
      <c r="M1030" s="2">
        <f t="shared" si="7"/>
        <v>0.2449366494</v>
      </c>
      <c r="N1030" s="2">
        <f t="shared" si="8"/>
        <v>0.03846301334</v>
      </c>
      <c r="O1030" s="2"/>
      <c r="P1030" s="2"/>
      <c r="Q1030" s="2"/>
      <c r="R1030" s="4"/>
    </row>
    <row r="1031" ht="14.25" customHeight="1">
      <c r="K1031" s="2">
        <v>0.01029</v>
      </c>
      <c r="L1031" s="2">
        <f t="shared" si="6"/>
        <v>0.0002117457819</v>
      </c>
      <c r="M1031" s="2">
        <f t="shared" si="7"/>
        <v>0.2454133612</v>
      </c>
      <c r="N1031" s="2">
        <f t="shared" si="8"/>
        <v>0.03851515549</v>
      </c>
      <c r="O1031" s="2"/>
      <c r="P1031" s="2"/>
      <c r="Q1031" s="2"/>
      <c r="R1031" s="4"/>
    </row>
    <row r="1032" ht="14.25" customHeight="1">
      <c r="K1032" s="2">
        <v>0.0103</v>
      </c>
      <c r="L1032" s="2">
        <f t="shared" si="6"/>
        <v>0.0002121574946</v>
      </c>
      <c r="M1032" s="2">
        <f t="shared" si="7"/>
        <v>0.2458905362</v>
      </c>
      <c r="N1032" s="2">
        <f t="shared" si="8"/>
        <v>0.03856734058</v>
      </c>
      <c r="O1032" s="2"/>
      <c r="P1032" s="2"/>
      <c r="Q1032" s="2"/>
      <c r="R1032" s="4"/>
    </row>
    <row r="1033" ht="14.25" customHeight="1">
      <c r="K1033" s="2">
        <v>0.01031</v>
      </c>
      <c r="L1033" s="2">
        <f t="shared" si="6"/>
        <v>0.0002125696071</v>
      </c>
      <c r="M1033" s="2">
        <f t="shared" si="7"/>
        <v>0.2463681746</v>
      </c>
      <c r="N1033" s="2">
        <f t="shared" si="8"/>
        <v>0.03861956864</v>
      </c>
      <c r="O1033" s="2"/>
      <c r="P1033" s="2"/>
      <c r="Q1033" s="2"/>
      <c r="R1033" s="4"/>
    </row>
    <row r="1034" ht="14.25" customHeight="1">
      <c r="K1034" s="2">
        <v>0.01032</v>
      </c>
      <c r="L1034" s="2">
        <f t="shared" si="6"/>
        <v>0.0002129821193</v>
      </c>
      <c r="M1034" s="2">
        <f t="shared" si="7"/>
        <v>0.2468462763</v>
      </c>
      <c r="N1034" s="2">
        <f t="shared" si="8"/>
        <v>0.03867183973</v>
      </c>
      <c r="O1034" s="2"/>
      <c r="P1034" s="2"/>
      <c r="Q1034" s="2"/>
      <c r="R1034" s="4"/>
    </row>
    <row r="1035" ht="14.25" customHeight="1">
      <c r="K1035" s="2">
        <v>0.01033</v>
      </c>
      <c r="L1035" s="2">
        <f t="shared" si="6"/>
        <v>0.0002133950313</v>
      </c>
      <c r="M1035" s="2">
        <f t="shared" si="7"/>
        <v>0.2473248413</v>
      </c>
      <c r="N1035" s="2">
        <f t="shared" si="8"/>
        <v>0.03872415387</v>
      </c>
      <c r="O1035" s="2"/>
      <c r="P1035" s="2"/>
      <c r="Q1035" s="2"/>
      <c r="R1035" s="4"/>
    </row>
    <row r="1036" ht="14.25" customHeight="1">
      <c r="K1036" s="2">
        <v>0.01034</v>
      </c>
      <c r="L1036" s="2">
        <f t="shared" si="6"/>
        <v>0.000213808343</v>
      </c>
      <c r="M1036" s="2">
        <f t="shared" si="7"/>
        <v>0.2478038695</v>
      </c>
      <c r="N1036" s="2">
        <f t="shared" si="8"/>
        <v>0.03877651113</v>
      </c>
      <c r="O1036" s="2"/>
      <c r="P1036" s="2"/>
      <c r="Q1036" s="2"/>
      <c r="R1036" s="4"/>
    </row>
    <row r="1037" ht="14.25" customHeight="1">
      <c r="K1037" s="2">
        <v>0.01035</v>
      </c>
      <c r="L1037" s="2">
        <f t="shared" si="6"/>
        <v>0.0002142220545</v>
      </c>
      <c r="M1037" s="2">
        <f t="shared" si="7"/>
        <v>0.2482833611</v>
      </c>
      <c r="N1037" s="2">
        <f t="shared" si="8"/>
        <v>0.03882891153</v>
      </c>
      <c r="O1037" s="2"/>
      <c r="P1037" s="2"/>
      <c r="Q1037" s="2"/>
      <c r="R1037" s="4"/>
    </row>
    <row r="1038" ht="14.25" customHeight="1">
      <c r="K1038" s="2">
        <v>0.01036</v>
      </c>
      <c r="L1038" s="2">
        <f t="shared" si="6"/>
        <v>0.0002146361657</v>
      </c>
      <c r="M1038" s="2">
        <f t="shared" si="7"/>
        <v>0.248763316</v>
      </c>
      <c r="N1038" s="2">
        <f t="shared" si="8"/>
        <v>0.03888135511</v>
      </c>
      <c r="O1038" s="2"/>
      <c r="P1038" s="2"/>
      <c r="Q1038" s="2"/>
      <c r="R1038" s="4"/>
    </row>
    <row r="1039" ht="14.25" customHeight="1">
      <c r="K1039" s="2">
        <v>0.01037</v>
      </c>
      <c r="L1039" s="2">
        <f t="shared" si="6"/>
        <v>0.0002150506766</v>
      </c>
      <c r="M1039" s="2">
        <f t="shared" si="7"/>
        <v>0.2492437342</v>
      </c>
      <c r="N1039" s="2">
        <f t="shared" si="8"/>
        <v>0.03893384193</v>
      </c>
      <c r="O1039" s="2"/>
      <c r="P1039" s="2"/>
      <c r="Q1039" s="2"/>
      <c r="R1039" s="4"/>
    </row>
    <row r="1040" ht="14.25" customHeight="1">
      <c r="K1040" s="2">
        <v>0.01038</v>
      </c>
      <c r="L1040" s="2">
        <f t="shared" si="6"/>
        <v>0.0002154655873</v>
      </c>
      <c r="M1040" s="2">
        <f t="shared" si="7"/>
        <v>0.2497246157</v>
      </c>
      <c r="N1040" s="2">
        <f t="shared" si="8"/>
        <v>0.03898637202</v>
      </c>
      <c r="O1040" s="2"/>
      <c r="P1040" s="2"/>
      <c r="Q1040" s="2"/>
      <c r="R1040" s="4"/>
    </row>
    <row r="1041" ht="14.25" customHeight="1">
      <c r="K1041" s="2">
        <v>0.01039</v>
      </c>
      <c r="L1041" s="2">
        <f t="shared" si="6"/>
        <v>0.0002158808977</v>
      </c>
      <c r="M1041" s="2">
        <f t="shared" si="7"/>
        <v>0.2502059605</v>
      </c>
      <c r="N1041" s="2">
        <f t="shared" si="8"/>
        <v>0.03903894542</v>
      </c>
      <c r="O1041" s="2"/>
      <c r="P1041" s="2"/>
      <c r="Q1041" s="2"/>
      <c r="R1041" s="4"/>
    </row>
    <row r="1042" ht="14.25" customHeight="1">
      <c r="K1042" s="2">
        <v>0.0104</v>
      </c>
      <c r="L1042" s="2">
        <f t="shared" si="6"/>
        <v>0.0002162966079</v>
      </c>
      <c r="M1042" s="2">
        <f t="shared" si="7"/>
        <v>0.2506877685</v>
      </c>
      <c r="N1042" s="2">
        <f t="shared" si="8"/>
        <v>0.03909156217</v>
      </c>
      <c r="O1042" s="2"/>
      <c r="P1042" s="2"/>
      <c r="Q1042" s="2"/>
      <c r="R1042" s="4"/>
    </row>
    <row r="1043" ht="14.25" customHeight="1">
      <c r="K1043" s="2">
        <v>0.01041</v>
      </c>
      <c r="L1043" s="2">
        <f t="shared" si="6"/>
        <v>0.0002167127178</v>
      </c>
      <c r="M1043" s="5">
        <f t="shared" si="7"/>
        <v>0.2511700399</v>
      </c>
      <c r="N1043" s="2">
        <f t="shared" si="8"/>
        <v>0.03914422232</v>
      </c>
      <c r="O1043" s="2"/>
      <c r="P1043" s="2"/>
      <c r="Q1043" s="2"/>
      <c r="R1043" s="4"/>
    </row>
    <row r="1044" ht="14.25" customHeight="1">
      <c r="K1044" s="2">
        <v>0.01042</v>
      </c>
      <c r="L1044" s="2">
        <f t="shared" si="6"/>
        <v>0.0002171292274</v>
      </c>
      <c r="M1044" s="2">
        <f t="shared" si="7"/>
        <v>0.2516527746</v>
      </c>
      <c r="N1044" s="2">
        <f t="shared" si="8"/>
        <v>0.03919692591</v>
      </c>
      <c r="O1044" s="2"/>
      <c r="P1044" s="2"/>
      <c r="Q1044" s="2"/>
      <c r="R1044" s="4"/>
    </row>
    <row r="1045" ht="14.25" customHeight="1">
      <c r="K1045" s="2">
        <v>0.01043</v>
      </c>
      <c r="L1045" s="2">
        <f t="shared" si="6"/>
        <v>0.0002175461368</v>
      </c>
      <c r="M1045" s="2">
        <f t="shared" si="7"/>
        <v>0.2521359726</v>
      </c>
      <c r="N1045" s="2">
        <f t="shared" si="8"/>
        <v>0.03924967297</v>
      </c>
      <c r="O1045" s="2"/>
      <c r="P1045" s="2"/>
      <c r="Q1045" s="2"/>
      <c r="R1045" s="4"/>
    </row>
    <row r="1046" ht="14.25" customHeight="1">
      <c r="K1046" s="2">
        <v>0.01044</v>
      </c>
      <c r="L1046" s="2">
        <f t="shared" si="6"/>
        <v>0.000217963446</v>
      </c>
      <c r="M1046" s="2">
        <f t="shared" si="7"/>
        <v>0.2526196339</v>
      </c>
      <c r="N1046" s="2">
        <f t="shared" si="8"/>
        <v>0.03930246356</v>
      </c>
      <c r="O1046" s="2"/>
      <c r="P1046" s="2"/>
      <c r="Q1046" s="2"/>
      <c r="R1046" s="4"/>
    </row>
    <row r="1047" ht="14.25" customHeight="1">
      <c r="K1047" s="2">
        <v>0.01045</v>
      </c>
      <c r="L1047" s="2">
        <f t="shared" si="6"/>
        <v>0.0002183811548</v>
      </c>
      <c r="M1047" s="2">
        <f t="shared" si="7"/>
        <v>0.2531037585</v>
      </c>
      <c r="N1047" s="2">
        <f t="shared" si="8"/>
        <v>0.03935529771</v>
      </c>
      <c r="O1047" s="2"/>
      <c r="P1047" s="2"/>
      <c r="Q1047" s="2"/>
      <c r="R1047" s="4"/>
    </row>
    <row r="1048" ht="14.25" customHeight="1">
      <c r="K1048" s="2">
        <v>0.01046</v>
      </c>
      <c r="L1048" s="2">
        <f t="shared" si="6"/>
        <v>0.0002187992634</v>
      </c>
      <c r="M1048" s="2">
        <f t="shared" si="7"/>
        <v>0.2535883463</v>
      </c>
      <c r="N1048" s="2">
        <f t="shared" si="8"/>
        <v>0.03940817546</v>
      </c>
      <c r="O1048" s="2"/>
      <c r="P1048" s="2"/>
      <c r="Q1048" s="2"/>
      <c r="R1048" s="4"/>
    </row>
    <row r="1049" ht="14.25" customHeight="1">
      <c r="K1049" s="2">
        <v>0.01047</v>
      </c>
      <c r="L1049" s="2">
        <f t="shared" si="6"/>
        <v>0.0002192177718</v>
      </c>
      <c r="M1049" s="2">
        <f t="shared" si="7"/>
        <v>0.2540733975</v>
      </c>
      <c r="N1049" s="2">
        <f t="shared" si="8"/>
        <v>0.03946109686</v>
      </c>
      <c r="O1049" s="2"/>
      <c r="P1049" s="2"/>
      <c r="Q1049" s="2"/>
      <c r="R1049" s="4"/>
    </row>
    <row r="1050" ht="14.25" customHeight="1">
      <c r="K1050" s="2">
        <v>0.01048</v>
      </c>
      <c r="L1050" s="2">
        <f t="shared" si="6"/>
        <v>0.0002196366799</v>
      </c>
      <c r="M1050" s="2">
        <f t="shared" si="7"/>
        <v>0.254558912</v>
      </c>
      <c r="N1050" s="2">
        <f t="shared" si="8"/>
        <v>0.03951406195</v>
      </c>
      <c r="O1050" s="2"/>
      <c r="P1050" s="2"/>
      <c r="Q1050" s="2"/>
      <c r="R1050" s="4"/>
    </row>
    <row r="1051" ht="14.25" customHeight="1">
      <c r="K1051" s="2">
        <v>0.01049</v>
      </c>
      <c r="L1051" s="2">
        <f t="shared" si="6"/>
        <v>0.0002200559877</v>
      </c>
      <c r="M1051" s="2">
        <f t="shared" si="7"/>
        <v>0.2550448897</v>
      </c>
      <c r="N1051" s="2">
        <f t="shared" si="8"/>
        <v>0.03956707076</v>
      </c>
      <c r="O1051" s="2"/>
      <c r="P1051" s="2"/>
      <c r="Q1051" s="2"/>
      <c r="R1051" s="4"/>
    </row>
    <row r="1052" ht="14.25" customHeight="1">
      <c r="K1052" s="2">
        <v>0.0105</v>
      </c>
      <c r="L1052" s="2">
        <f t="shared" si="6"/>
        <v>0.0002204756952</v>
      </c>
      <c r="M1052" s="2">
        <f t="shared" si="7"/>
        <v>0.2555313308</v>
      </c>
      <c r="N1052" s="2">
        <f t="shared" si="8"/>
        <v>0.03962012335</v>
      </c>
      <c r="O1052" s="2"/>
      <c r="P1052" s="2"/>
      <c r="Q1052" s="2"/>
      <c r="R1052" s="4"/>
    </row>
    <row r="1053" ht="14.25" customHeight="1">
      <c r="K1053" s="2">
        <v>0.01051</v>
      </c>
      <c r="L1053" s="2">
        <f t="shared" si="6"/>
        <v>0.0002208958025</v>
      </c>
      <c r="M1053" s="2">
        <f t="shared" si="7"/>
        <v>0.2560182351</v>
      </c>
      <c r="N1053" s="2">
        <f t="shared" si="8"/>
        <v>0.03967321975</v>
      </c>
      <c r="O1053" s="2"/>
      <c r="P1053" s="2"/>
      <c r="Q1053" s="2"/>
      <c r="R1053" s="4"/>
    </row>
    <row r="1054" ht="14.25" customHeight="1">
      <c r="K1054" s="2">
        <v>0.01052</v>
      </c>
      <c r="L1054" s="2">
        <f t="shared" si="6"/>
        <v>0.0002213163095</v>
      </c>
      <c r="M1054" s="2">
        <f t="shared" si="7"/>
        <v>0.2565056028</v>
      </c>
      <c r="N1054" s="2">
        <f t="shared" si="8"/>
        <v>0.03972636</v>
      </c>
      <c r="O1054" s="2"/>
      <c r="P1054" s="2"/>
      <c r="Q1054" s="2"/>
      <c r="R1054" s="4"/>
    </row>
    <row r="1055" ht="14.25" customHeight="1">
      <c r="K1055" s="2">
        <v>0.01053</v>
      </c>
      <c r="L1055" s="2">
        <f t="shared" si="6"/>
        <v>0.0002217372163</v>
      </c>
      <c r="M1055" s="2">
        <f t="shared" si="7"/>
        <v>0.2569934337</v>
      </c>
      <c r="N1055" s="2">
        <f t="shared" si="8"/>
        <v>0.03977954414</v>
      </c>
      <c r="O1055" s="2"/>
      <c r="P1055" s="2"/>
      <c r="Q1055" s="2"/>
      <c r="R1055" s="4"/>
    </row>
    <row r="1056" ht="14.25" customHeight="1">
      <c r="K1056" s="2">
        <v>0.01054</v>
      </c>
      <c r="L1056" s="2">
        <f t="shared" si="6"/>
        <v>0.0002221585228</v>
      </c>
      <c r="M1056" s="2">
        <f t="shared" si="7"/>
        <v>0.2574817279</v>
      </c>
      <c r="N1056" s="2">
        <f t="shared" si="8"/>
        <v>0.03983277223</v>
      </c>
      <c r="O1056" s="2"/>
      <c r="P1056" s="2"/>
      <c r="Q1056" s="2"/>
      <c r="R1056" s="4"/>
    </row>
    <row r="1057" ht="14.25" customHeight="1">
      <c r="K1057" s="2">
        <v>0.01055</v>
      </c>
      <c r="L1057" s="2">
        <f t="shared" si="6"/>
        <v>0.000222580229</v>
      </c>
      <c r="M1057" s="2">
        <f t="shared" si="7"/>
        <v>0.2579704854</v>
      </c>
      <c r="N1057" s="2">
        <f t="shared" si="8"/>
        <v>0.03988604429</v>
      </c>
      <c r="O1057" s="2"/>
      <c r="P1057" s="2"/>
      <c r="Q1057" s="2"/>
      <c r="R1057" s="4"/>
    </row>
    <row r="1058" ht="14.25" customHeight="1">
      <c r="K1058" s="2">
        <v>0.01056</v>
      </c>
      <c r="L1058" s="2">
        <f t="shared" si="6"/>
        <v>0.000223002335</v>
      </c>
      <c r="M1058" s="2">
        <f t="shared" si="7"/>
        <v>0.2584597062</v>
      </c>
      <c r="N1058" s="2">
        <f t="shared" si="8"/>
        <v>0.03993936038</v>
      </c>
      <c r="O1058" s="2"/>
      <c r="P1058" s="2"/>
      <c r="Q1058" s="2"/>
      <c r="R1058" s="4"/>
    </row>
    <row r="1059" ht="14.25" customHeight="1">
      <c r="K1059" s="2">
        <v>0.01057</v>
      </c>
      <c r="L1059" s="2">
        <f t="shared" si="6"/>
        <v>0.0002234248407</v>
      </c>
      <c r="M1059" s="2">
        <f t="shared" si="7"/>
        <v>0.2589493903</v>
      </c>
      <c r="N1059" s="2">
        <f t="shared" si="8"/>
        <v>0.03999272052</v>
      </c>
      <c r="O1059" s="2"/>
      <c r="P1059" s="2"/>
      <c r="Q1059" s="2"/>
      <c r="R1059" s="4"/>
    </row>
    <row r="1060" ht="14.25" customHeight="1">
      <c r="K1060" s="2">
        <v>0.01058</v>
      </c>
      <c r="L1060" s="2">
        <f t="shared" si="6"/>
        <v>0.0002238477461</v>
      </c>
      <c r="M1060" s="2">
        <f t="shared" si="7"/>
        <v>0.2594395377</v>
      </c>
      <c r="N1060" s="2">
        <f t="shared" si="8"/>
        <v>0.04004612477</v>
      </c>
      <c r="O1060" s="2"/>
      <c r="P1060" s="2"/>
      <c r="Q1060" s="2"/>
      <c r="R1060" s="4"/>
    </row>
    <row r="1061" ht="14.25" customHeight="1">
      <c r="K1061" s="2">
        <v>0.01059</v>
      </c>
      <c r="L1061" s="2">
        <f t="shared" si="6"/>
        <v>0.0002242710512</v>
      </c>
      <c r="M1061" s="2">
        <f t="shared" si="7"/>
        <v>0.2599301484</v>
      </c>
      <c r="N1061" s="2">
        <f t="shared" si="8"/>
        <v>0.04009957316</v>
      </c>
      <c r="O1061" s="2"/>
      <c r="P1061" s="2"/>
      <c r="Q1061" s="2"/>
      <c r="R1061" s="4"/>
    </row>
    <row r="1062" ht="14.25" customHeight="1">
      <c r="K1062" s="2">
        <v>0.0106</v>
      </c>
      <c r="L1062" s="2">
        <f t="shared" si="6"/>
        <v>0.0002246947561</v>
      </c>
      <c r="M1062" s="2">
        <f t="shared" si="7"/>
        <v>0.2604212224</v>
      </c>
      <c r="N1062" s="2">
        <f t="shared" si="8"/>
        <v>0.04015306575</v>
      </c>
      <c r="O1062" s="2"/>
      <c r="P1062" s="2"/>
      <c r="Q1062" s="2"/>
      <c r="R1062" s="4"/>
    </row>
    <row r="1063" ht="14.25" customHeight="1">
      <c r="K1063" s="2">
        <v>0.01061</v>
      </c>
      <c r="L1063" s="2">
        <f t="shared" si="6"/>
        <v>0.0002251188607</v>
      </c>
      <c r="M1063" s="2">
        <f t="shared" si="7"/>
        <v>0.2609127596</v>
      </c>
      <c r="N1063" s="2">
        <f t="shared" si="8"/>
        <v>0.04020660256</v>
      </c>
      <c r="O1063" s="2"/>
      <c r="P1063" s="2"/>
      <c r="Q1063" s="2"/>
      <c r="R1063" s="4"/>
    </row>
    <row r="1064" ht="14.25" customHeight="1">
      <c r="K1064" s="2">
        <v>0.01062</v>
      </c>
      <c r="L1064" s="2">
        <f t="shared" si="6"/>
        <v>0.0002255433651</v>
      </c>
      <c r="M1064" s="2">
        <f t="shared" si="7"/>
        <v>0.2614047601</v>
      </c>
      <c r="N1064" s="2">
        <f t="shared" si="8"/>
        <v>0.04026018364</v>
      </c>
      <c r="O1064" s="2"/>
      <c r="P1064" s="2"/>
      <c r="Q1064" s="2"/>
      <c r="R1064" s="4"/>
    </row>
    <row r="1065" ht="14.25" customHeight="1">
      <c r="K1065" s="2">
        <v>0.01063</v>
      </c>
      <c r="L1065" s="2">
        <f t="shared" si="6"/>
        <v>0.0002259682692</v>
      </c>
      <c r="M1065" s="2">
        <f t="shared" si="7"/>
        <v>0.261897224</v>
      </c>
      <c r="N1065" s="2">
        <f t="shared" si="8"/>
        <v>0.04031380903</v>
      </c>
      <c r="O1065" s="2"/>
      <c r="P1065" s="2"/>
      <c r="Q1065" s="2"/>
      <c r="R1065" s="4"/>
    </row>
    <row r="1066" ht="14.25" customHeight="1">
      <c r="K1066" s="2">
        <v>0.01064</v>
      </c>
      <c r="L1066" s="2">
        <f t="shared" si="6"/>
        <v>0.000226393573</v>
      </c>
      <c r="M1066" s="2">
        <f t="shared" si="7"/>
        <v>0.2623901511</v>
      </c>
      <c r="N1066" s="2">
        <f t="shared" si="8"/>
        <v>0.04036747877</v>
      </c>
      <c r="O1066" s="2"/>
      <c r="P1066" s="2"/>
      <c r="Q1066" s="2"/>
      <c r="R1066" s="4"/>
    </row>
    <row r="1067" ht="14.25" customHeight="1">
      <c r="K1067" s="2">
        <v>0.01065</v>
      </c>
      <c r="L1067" s="2">
        <f t="shared" si="6"/>
        <v>0.0002268192765</v>
      </c>
      <c r="M1067" s="2">
        <f t="shared" si="7"/>
        <v>0.2628835415</v>
      </c>
      <c r="N1067" s="2">
        <f t="shared" si="8"/>
        <v>0.04042119291</v>
      </c>
      <c r="O1067" s="2"/>
      <c r="P1067" s="2"/>
      <c r="Q1067" s="2"/>
      <c r="R1067" s="4"/>
    </row>
    <row r="1068" ht="14.25" customHeight="1">
      <c r="K1068" s="2">
        <v>0.01066</v>
      </c>
      <c r="L1068" s="2">
        <f t="shared" si="6"/>
        <v>0.0002272453798</v>
      </c>
      <c r="M1068" s="2">
        <f t="shared" si="7"/>
        <v>0.2633773952</v>
      </c>
      <c r="N1068" s="2">
        <f t="shared" si="8"/>
        <v>0.04047495149</v>
      </c>
      <c r="O1068" s="2"/>
      <c r="P1068" s="2"/>
      <c r="Q1068" s="2"/>
      <c r="R1068" s="4"/>
    </row>
    <row r="1069" ht="14.25" customHeight="1">
      <c r="K1069" s="2">
        <v>0.01067</v>
      </c>
      <c r="L1069" s="2">
        <f t="shared" si="6"/>
        <v>0.0002276718828</v>
      </c>
      <c r="M1069" s="2">
        <f t="shared" si="7"/>
        <v>0.2638717121</v>
      </c>
      <c r="N1069" s="2">
        <f t="shared" si="8"/>
        <v>0.04052875455</v>
      </c>
      <c r="O1069" s="2"/>
      <c r="P1069" s="2"/>
      <c r="Q1069" s="2"/>
      <c r="R1069" s="4"/>
    </row>
    <row r="1070" ht="14.25" customHeight="1">
      <c r="K1070" s="2">
        <v>0.01068</v>
      </c>
      <c r="L1070" s="2">
        <f t="shared" si="6"/>
        <v>0.0002280987855</v>
      </c>
      <c r="M1070" s="2">
        <f t="shared" si="7"/>
        <v>0.2643664924</v>
      </c>
      <c r="N1070" s="2">
        <f t="shared" si="8"/>
        <v>0.04058260212</v>
      </c>
      <c r="O1070" s="2"/>
      <c r="P1070" s="2"/>
      <c r="Q1070" s="2"/>
      <c r="R1070" s="4"/>
    </row>
    <row r="1071" ht="14.25" customHeight="1">
      <c r="K1071" s="2">
        <v>0.01069</v>
      </c>
      <c r="L1071" s="2">
        <f t="shared" si="6"/>
        <v>0.0002285260879</v>
      </c>
      <c r="M1071" s="2">
        <f t="shared" si="7"/>
        <v>0.2648617359</v>
      </c>
      <c r="N1071" s="2">
        <f t="shared" si="8"/>
        <v>0.04063649426</v>
      </c>
      <c r="O1071" s="2"/>
      <c r="P1071" s="2"/>
      <c r="Q1071" s="2"/>
      <c r="R1071" s="4"/>
    </row>
    <row r="1072" ht="14.25" customHeight="1">
      <c r="K1072" s="2">
        <v>0.0107</v>
      </c>
      <c r="L1072" s="2">
        <f t="shared" si="6"/>
        <v>0.0002289537901</v>
      </c>
      <c r="M1072" s="2">
        <f t="shared" si="7"/>
        <v>0.2653574427</v>
      </c>
      <c r="N1072" s="2">
        <f t="shared" si="8"/>
        <v>0.040690431</v>
      </c>
      <c r="O1072" s="2"/>
      <c r="P1072" s="2"/>
      <c r="Q1072" s="2"/>
      <c r="R1072" s="4"/>
    </row>
    <row r="1073" ht="14.25" customHeight="1">
      <c r="K1073" s="2">
        <v>0.01071</v>
      </c>
      <c r="L1073" s="2">
        <f t="shared" si="6"/>
        <v>0.000229381892</v>
      </c>
      <c r="M1073" s="2">
        <f t="shared" si="7"/>
        <v>0.2658536128</v>
      </c>
      <c r="N1073" s="2">
        <f t="shared" si="8"/>
        <v>0.04074441238</v>
      </c>
      <c r="O1073" s="2"/>
      <c r="P1073" s="2"/>
      <c r="Q1073" s="2"/>
      <c r="R1073" s="4"/>
    </row>
    <row r="1074" ht="14.25" customHeight="1">
      <c r="K1074" s="2">
        <v>0.01072</v>
      </c>
      <c r="L1074" s="2">
        <f t="shared" si="6"/>
        <v>0.0002298103936</v>
      </c>
      <c r="M1074" s="2">
        <f t="shared" si="7"/>
        <v>0.2663502462</v>
      </c>
      <c r="N1074" s="2">
        <f t="shared" si="8"/>
        <v>0.04079843845</v>
      </c>
      <c r="O1074" s="2"/>
      <c r="P1074" s="2"/>
      <c r="Q1074" s="2"/>
      <c r="R1074" s="4"/>
    </row>
    <row r="1075" ht="14.25" customHeight="1">
      <c r="K1075" s="2">
        <v>0.01073</v>
      </c>
      <c r="L1075" s="2">
        <f t="shared" si="6"/>
        <v>0.0002302392949</v>
      </c>
      <c r="M1075" s="2">
        <f t="shared" si="7"/>
        <v>0.2668473428</v>
      </c>
      <c r="N1075" s="2">
        <f t="shared" si="8"/>
        <v>0.04085250925</v>
      </c>
      <c r="O1075" s="2"/>
      <c r="P1075" s="2"/>
      <c r="Q1075" s="2"/>
      <c r="R1075" s="4"/>
    </row>
    <row r="1076" ht="14.25" customHeight="1">
      <c r="K1076" s="2">
        <v>0.01074</v>
      </c>
      <c r="L1076" s="2">
        <f t="shared" si="6"/>
        <v>0.000230668596</v>
      </c>
      <c r="M1076" s="2">
        <f t="shared" si="7"/>
        <v>0.2673449028</v>
      </c>
      <c r="N1076" s="2">
        <f t="shared" si="8"/>
        <v>0.04090662482</v>
      </c>
      <c r="O1076" s="2"/>
      <c r="P1076" s="2"/>
      <c r="Q1076" s="2"/>
      <c r="R1076" s="4"/>
    </row>
    <row r="1077" ht="14.25" customHeight="1">
      <c r="K1077" s="2">
        <v>0.01075</v>
      </c>
      <c r="L1077" s="2">
        <f t="shared" si="6"/>
        <v>0.0002310982968</v>
      </c>
      <c r="M1077" s="2">
        <f t="shared" si="7"/>
        <v>0.267842926</v>
      </c>
      <c r="N1077" s="2">
        <f t="shared" si="8"/>
        <v>0.0409607852</v>
      </c>
      <c r="O1077" s="2"/>
      <c r="P1077" s="2"/>
      <c r="Q1077" s="2"/>
      <c r="R1077" s="4"/>
    </row>
    <row r="1078" ht="14.25" customHeight="1">
      <c r="K1078" s="2">
        <v>0.01076</v>
      </c>
      <c r="L1078" s="2">
        <f t="shared" si="6"/>
        <v>0.0002315283973</v>
      </c>
      <c r="M1078" s="2">
        <f t="shared" si="7"/>
        <v>0.2683414125</v>
      </c>
      <c r="N1078" s="2">
        <f t="shared" si="8"/>
        <v>0.04101499044</v>
      </c>
      <c r="O1078" s="2"/>
      <c r="P1078" s="2"/>
      <c r="Q1078" s="2"/>
      <c r="R1078" s="4"/>
    </row>
    <row r="1079" ht="14.25" customHeight="1">
      <c r="K1079" s="2">
        <v>0.01077</v>
      </c>
      <c r="L1079" s="2">
        <f t="shared" si="6"/>
        <v>0.0002319588975</v>
      </c>
      <c r="M1079" s="2">
        <f t="shared" si="7"/>
        <v>0.2688403622</v>
      </c>
      <c r="N1079" s="2">
        <f t="shared" si="8"/>
        <v>0.04106924056</v>
      </c>
      <c r="O1079" s="2"/>
      <c r="P1079" s="2"/>
      <c r="Q1079" s="2"/>
      <c r="R1079" s="4"/>
    </row>
    <row r="1080" ht="14.25" customHeight="1">
      <c r="K1080" s="2">
        <v>0.01078</v>
      </c>
      <c r="L1080" s="2">
        <f t="shared" si="6"/>
        <v>0.0002323897975</v>
      </c>
      <c r="M1080" s="2">
        <f t="shared" si="7"/>
        <v>0.2693397753</v>
      </c>
      <c r="N1080" s="2">
        <f t="shared" si="8"/>
        <v>0.04112353563</v>
      </c>
      <c r="O1080" s="2"/>
      <c r="P1080" s="2"/>
      <c r="Q1080" s="2"/>
      <c r="R1080" s="4"/>
    </row>
    <row r="1081" ht="14.25" customHeight="1">
      <c r="K1081" s="2">
        <v>0.01079</v>
      </c>
      <c r="L1081" s="2">
        <f t="shared" si="6"/>
        <v>0.0002328210972</v>
      </c>
      <c r="M1081" s="2">
        <f t="shared" si="7"/>
        <v>0.2698396516</v>
      </c>
      <c r="N1081" s="2">
        <f t="shared" si="8"/>
        <v>0.04117787567</v>
      </c>
      <c r="O1081" s="2"/>
      <c r="P1081" s="2"/>
      <c r="Q1081" s="2"/>
      <c r="R1081" s="4"/>
    </row>
    <row r="1082" ht="14.25" customHeight="1">
      <c r="K1082" s="2">
        <v>0.0108</v>
      </c>
      <c r="L1082" s="2">
        <f t="shared" si="6"/>
        <v>0.0002332527966</v>
      </c>
      <c r="M1082" s="2">
        <f t="shared" si="7"/>
        <v>0.2703399912</v>
      </c>
      <c r="N1082" s="2">
        <f t="shared" si="8"/>
        <v>0.04123226073</v>
      </c>
      <c r="O1082" s="2"/>
      <c r="P1082" s="2"/>
      <c r="Q1082" s="2"/>
      <c r="R1082" s="4"/>
    </row>
    <row r="1083" ht="14.25" customHeight="1">
      <c r="K1083" s="2">
        <v>0.01081</v>
      </c>
      <c r="L1083" s="2">
        <f t="shared" si="6"/>
        <v>0.0002336848957</v>
      </c>
      <c r="M1083" s="2">
        <f t="shared" si="7"/>
        <v>0.2708407941</v>
      </c>
      <c r="N1083" s="2">
        <f t="shared" si="8"/>
        <v>0.04128669085</v>
      </c>
      <c r="O1083" s="2"/>
      <c r="P1083" s="2"/>
      <c r="Q1083" s="2"/>
      <c r="R1083" s="4"/>
    </row>
    <row r="1084" ht="14.25" customHeight="1">
      <c r="K1084" s="2">
        <v>0.01082</v>
      </c>
      <c r="L1084" s="2">
        <f t="shared" si="6"/>
        <v>0.0002341173945</v>
      </c>
      <c r="M1084" s="2">
        <f t="shared" si="7"/>
        <v>0.2713420603</v>
      </c>
      <c r="N1084" s="2">
        <f t="shared" si="8"/>
        <v>0.04134116608</v>
      </c>
      <c r="O1084" s="2"/>
      <c r="P1084" s="2"/>
      <c r="Q1084" s="2"/>
      <c r="R1084" s="4"/>
    </row>
    <row r="1085" ht="14.25" customHeight="1">
      <c r="K1085" s="2">
        <v>0.01083</v>
      </c>
      <c r="L1085" s="2">
        <f t="shared" si="6"/>
        <v>0.0002345502931</v>
      </c>
      <c r="M1085" s="2">
        <f t="shared" si="7"/>
        <v>0.2718437897</v>
      </c>
      <c r="N1085" s="2">
        <f t="shared" si="8"/>
        <v>0.04139568645</v>
      </c>
      <c r="O1085" s="2"/>
      <c r="P1085" s="2"/>
      <c r="Q1085" s="2"/>
      <c r="R1085" s="4"/>
    </row>
    <row r="1086" ht="14.25" customHeight="1">
      <c r="K1086" s="2">
        <v>0.01084</v>
      </c>
      <c r="L1086" s="2">
        <f t="shared" si="6"/>
        <v>0.0002349835914</v>
      </c>
      <c r="M1086" s="2">
        <f t="shared" si="7"/>
        <v>0.2723459824</v>
      </c>
      <c r="N1086" s="2">
        <f t="shared" si="8"/>
        <v>0.04145025201</v>
      </c>
      <c r="O1086" s="2"/>
      <c r="P1086" s="2"/>
      <c r="Q1086" s="2"/>
      <c r="R1086" s="4"/>
    </row>
    <row r="1087" ht="14.25" customHeight="1">
      <c r="K1087" s="2">
        <v>0.01085</v>
      </c>
      <c r="L1087" s="2">
        <f t="shared" si="6"/>
        <v>0.0002354172893</v>
      </c>
      <c r="M1087" s="2">
        <f t="shared" si="7"/>
        <v>0.2728486384</v>
      </c>
      <c r="N1087" s="2">
        <f t="shared" si="8"/>
        <v>0.04150486279</v>
      </c>
      <c r="O1087" s="2"/>
      <c r="P1087" s="2"/>
      <c r="Q1087" s="2"/>
      <c r="R1087" s="4"/>
    </row>
    <row r="1088" ht="14.25" customHeight="1">
      <c r="K1088" s="2">
        <v>0.01086</v>
      </c>
      <c r="L1088" s="2">
        <f t="shared" si="6"/>
        <v>0.0002358513871</v>
      </c>
      <c r="M1088" s="2">
        <f t="shared" si="7"/>
        <v>0.2733517576</v>
      </c>
      <c r="N1088" s="2">
        <f t="shared" si="8"/>
        <v>0.04155951884</v>
      </c>
      <c r="O1088" s="2"/>
      <c r="P1088" s="2"/>
      <c r="Q1088" s="2"/>
      <c r="R1088" s="4"/>
    </row>
    <row r="1089" ht="14.25" customHeight="1">
      <c r="K1089" s="2">
        <v>0.01087</v>
      </c>
      <c r="L1089" s="2">
        <f t="shared" si="6"/>
        <v>0.0002362858845</v>
      </c>
      <c r="M1089" s="2">
        <f t="shared" si="7"/>
        <v>0.2738553401</v>
      </c>
      <c r="N1089" s="2">
        <f t="shared" si="8"/>
        <v>0.04161422021</v>
      </c>
      <c r="O1089" s="2"/>
      <c r="P1089" s="2"/>
      <c r="Q1089" s="2"/>
      <c r="R1089" s="4"/>
    </row>
    <row r="1090" ht="14.25" customHeight="1">
      <c r="K1090" s="2">
        <v>0.01088</v>
      </c>
      <c r="L1090" s="2">
        <f t="shared" si="6"/>
        <v>0.0002367207816</v>
      </c>
      <c r="M1090" s="2">
        <f t="shared" si="7"/>
        <v>0.2743593859</v>
      </c>
      <c r="N1090" s="2">
        <f t="shared" si="8"/>
        <v>0.04166896692</v>
      </c>
      <c r="O1090" s="2"/>
      <c r="P1090" s="2"/>
      <c r="Q1090" s="2"/>
      <c r="R1090" s="4"/>
    </row>
    <row r="1091" ht="14.25" customHeight="1">
      <c r="K1091" s="2">
        <v>0.01089</v>
      </c>
      <c r="L1091" s="2">
        <f t="shared" si="6"/>
        <v>0.0002371560785</v>
      </c>
      <c r="M1091" s="2">
        <f t="shared" si="7"/>
        <v>0.274863895</v>
      </c>
      <c r="N1091" s="2">
        <f t="shared" si="8"/>
        <v>0.04172375903</v>
      </c>
      <c r="O1091" s="2"/>
      <c r="P1091" s="2"/>
      <c r="Q1091" s="2"/>
      <c r="R1091" s="4"/>
    </row>
    <row r="1092" ht="14.25" customHeight="1">
      <c r="K1092" s="2">
        <v>0.0109</v>
      </c>
      <c r="L1092" s="2">
        <f t="shared" si="6"/>
        <v>0.0002375917751</v>
      </c>
      <c r="M1092" s="2">
        <f t="shared" si="7"/>
        <v>0.2753688673</v>
      </c>
      <c r="N1092" s="2">
        <f t="shared" si="8"/>
        <v>0.04177859658</v>
      </c>
      <c r="O1092" s="2"/>
      <c r="P1092" s="2"/>
      <c r="Q1092" s="2"/>
      <c r="R1092" s="4"/>
    </row>
    <row r="1093" ht="14.25" customHeight="1">
      <c r="K1093" s="2">
        <v>0.01091</v>
      </c>
      <c r="L1093" s="2">
        <f t="shared" si="6"/>
        <v>0.0002380278714</v>
      </c>
      <c r="M1093" s="2">
        <f t="shared" si="7"/>
        <v>0.2758743029</v>
      </c>
      <c r="N1093" s="2">
        <f t="shared" si="8"/>
        <v>0.0418334796</v>
      </c>
      <c r="O1093" s="2"/>
      <c r="P1093" s="2"/>
      <c r="Q1093" s="2"/>
      <c r="R1093" s="4"/>
    </row>
    <row r="1094" ht="14.25" customHeight="1">
      <c r="K1094" s="2">
        <v>0.01092</v>
      </c>
      <c r="L1094" s="2">
        <f t="shared" si="6"/>
        <v>0.0002384643674</v>
      </c>
      <c r="M1094" s="2">
        <f t="shared" si="7"/>
        <v>0.2763802018</v>
      </c>
      <c r="N1094" s="2">
        <f t="shared" si="8"/>
        <v>0.04188840814</v>
      </c>
      <c r="O1094" s="2"/>
      <c r="P1094" s="2"/>
      <c r="Q1094" s="2"/>
      <c r="R1094" s="4"/>
    </row>
    <row r="1095" ht="14.25" customHeight="1">
      <c r="K1095" s="2">
        <v>0.01093</v>
      </c>
      <c r="L1095" s="2">
        <f t="shared" si="6"/>
        <v>0.0002389012631</v>
      </c>
      <c r="M1095" s="2">
        <f t="shared" si="7"/>
        <v>0.2768865639</v>
      </c>
      <c r="N1095" s="2">
        <f t="shared" si="8"/>
        <v>0.04194338224</v>
      </c>
      <c r="O1095" s="2"/>
      <c r="P1095" s="2"/>
      <c r="Q1095" s="2"/>
      <c r="R1095" s="4"/>
    </row>
    <row r="1096" ht="14.25" customHeight="1">
      <c r="K1096" s="2">
        <v>0.01094</v>
      </c>
      <c r="L1096" s="2">
        <f t="shared" si="6"/>
        <v>0.0002393385585</v>
      </c>
      <c r="M1096" s="2">
        <f t="shared" si="7"/>
        <v>0.2773933893</v>
      </c>
      <c r="N1096" s="2">
        <f t="shared" si="8"/>
        <v>0.04199840195</v>
      </c>
      <c r="O1096" s="2"/>
      <c r="P1096" s="2"/>
      <c r="Q1096" s="2"/>
      <c r="R1096" s="4"/>
    </row>
    <row r="1097" ht="14.25" customHeight="1">
      <c r="K1097" s="2">
        <v>0.01095</v>
      </c>
      <c r="L1097" s="2">
        <f t="shared" si="6"/>
        <v>0.0002397762537</v>
      </c>
      <c r="M1097" s="2">
        <f t="shared" si="7"/>
        <v>0.277900678</v>
      </c>
      <c r="N1097" s="2">
        <f t="shared" si="8"/>
        <v>0.0420534673</v>
      </c>
      <c r="O1097" s="2"/>
      <c r="P1097" s="2"/>
      <c r="Q1097" s="2"/>
      <c r="R1097" s="4"/>
    </row>
    <row r="1098" ht="14.25" customHeight="1">
      <c r="K1098" s="2">
        <v>0.01096</v>
      </c>
      <c r="L1098" s="2">
        <f t="shared" si="6"/>
        <v>0.0002402143485</v>
      </c>
      <c r="M1098" s="2">
        <f t="shared" si="7"/>
        <v>0.27840843</v>
      </c>
      <c r="N1098" s="2">
        <f t="shared" si="8"/>
        <v>0.04210857833</v>
      </c>
      <c r="O1098" s="2"/>
      <c r="P1098" s="2"/>
      <c r="Q1098" s="2"/>
      <c r="R1098" s="4"/>
    </row>
    <row r="1099" ht="14.25" customHeight="1">
      <c r="K1099" s="2">
        <v>0.01097</v>
      </c>
      <c r="L1099" s="2">
        <f t="shared" si="6"/>
        <v>0.0002406528431</v>
      </c>
      <c r="M1099" s="2">
        <f t="shared" si="7"/>
        <v>0.2789166452</v>
      </c>
      <c r="N1099" s="2">
        <f t="shared" si="8"/>
        <v>0.04216373509</v>
      </c>
      <c r="O1099" s="2"/>
      <c r="P1099" s="2"/>
      <c r="Q1099" s="2"/>
      <c r="R1099" s="4"/>
    </row>
    <row r="1100" ht="14.25" customHeight="1">
      <c r="K1100" s="2">
        <v>0.01098</v>
      </c>
      <c r="L1100" s="2">
        <f t="shared" si="6"/>
        <v>0.0002410917374</v>
      </c>
      <c r="M1100" s="2">
        <f t="shared" si="7"/>
        <v>0.2794253236</v>
      </c>
      <c r="N1100" s="2">
        <f t="shared" si="8"/>
        <v>0.04221893762</v>
      </c>
      <c r="O1100" s="2"/>
      <c r="P1100" s="2"/>
      <c r="Q1100" s="2"/>
      <c r="R1100" s="4"/>
    </row>
    <row r="1101" ht="14.25" customHeight="1">
      <c r="K1101" s="2">
        <v>0.01099</v>
      </c>
      <c r="L1101" s="2">
        <f t="shared" si="6"/>
        <v>0.0002415310314</v>
      </c>
      <c r="M1101" s="2">
        <f t="shared" si="7"/>
        <v>0.2799344654</v>
      </c>
      <c r="N1101" s="2">
        <f t="shared" si="8"/>
        <v>0.04227418596</v>
      </c>
      <c r="O1101" s="2"/>
      <c r="P1101" s="2"/>
      <c r="Q1101" s="2"/>
      <c r="R1101" s="4"/>
    </row>
    <row r="1102" ht="14.25" customHeight="1">
      <c r="K1102" s="2">
        <v>0.011</v>
      </c>
      <c r="L1102" s="2">
        <f t="shared" si="6"/>
        <v>0.0002419707251</v>
      </c>
      <c r="M1102" s="2">
        <f t="shared" si="7"/>
        <v>0.2804440704</v>
      </c>
      <c r="N1102" s="2">
        <f t="shared" si="8"/>
        <v>0.04232948016</v>
      </c>
      <c r="O1102" s="2"/>
      <c r="P1102" s="2"/>
      <c r="Q1102" s="2"/>
      <c r="R1102" s="4"/>
    </row>
    <row r="1103" ht="14.25" customHeight="1">
      <c r="K1103" s="2">
        <v>0.01101</v>
      </c>
      <c r="L1103" s="2">
        <f t="shared" si="6"/>
        <v>0.0002424108185</v>
      </c>
      <c r="M1103" s="2">
        <f t="shared" si="7"/>
        <v>0.2809541386</v>
      </c>
      <c r="N1103" s="2">
        <f t="shared" si="8"/>
        <v>0.04238482024</v>
      </c>
      <c r="O1103" s="2"/>
      <c r="P1103" s="2"/>
      <c r="Q1103" s="2"/>
      <c r="R1103" s="4"/>
    </row>
    <row r="1104" ht="14.25" customHeight="1">
      <c r="K1104" s="2">
        <v>0.01102</v>
      </c>
      <c r="L1104" s="2">
        <f t="shared" si="6"/>
        <v>0.0002428513116</v>
      </c>
      <c r="M1104" s="2">
        <f t="shared" si="7"/>
        <v>0.2814646702</v>
      </c>
      <c r="N1104" s="2">
        <f t="shared" si="8"/>
        <v>0.04244020626</v>
      </c>
      <c r="O1104" s="2"/>
      <c r="P1104" s="2"/>
      <c r="Q1104" s="2"/>
      <c r="R1104" s="4"/>
    </row>
    <row r="1105" ht="14.25" customHeight="1">
      <c r="K1105" s="2">
        <v>0.01103</v>
      </c>
      <c r="L1105" s="2">
        <f t="shared" si="6"/>
        <v>0.0002432922045</v>
      </c>
      <c r="M1105" s="2">
        <f t="shared" si="7"/>
        <v>0.281975665</v>
      </c>
      <c r="N1105" s="2">
        <f t="shared" si="8"/>
        <v>0.04249563826</v>
      </c>
      <c r="O1105" s="2"/>
      <c r="P1105" s="2"/>
      <c r="Q1105" s="2"/>
      <c r="R1105" s="4"/>
    </row>
    <row r="1106" ht="14.25" customHeight="1">
      <c r="K1106" s="2">
        <v>0.01104</v>
      </c>
      <c r="L1106" s="2">
        <f t="shared" si="6"/>
        <v>0.000243733497</v>
      </c>
      <c r="M1106" s="2">
        <f t="shared" si="7"/>
        <v>0.282487123</v>
      </c>
      <c r="N1106" s="2">
        <f t="shared" si="8"/>
        <v>0.04255111628</v>
      </c>
      <c r="O1106" s="2"/>
      <c r="P1106" s="2"/>
      <c r="Q1106" s="2"/>
      <c r="R1106" s="4"/>
    </row>
    <row r="1107" ht="14.25" customHeight="1">
      <c r="K1107" s="2">
        <v>0.01105</v>
      </c>
      <c r="L1107" s="2">
        <f t="shared" si="6"/>
        <v>0.0002441751892</v>
      </c>
      <c r="M1107" s="2">
        <f t="shared" si="7"/>
        <v>0.2829990443</v>
      </c>
      <c r="N1107" s="2">
        <f t="shared" si="8"/>
        <v>0.04260664035</v>
      </c>
      <c r="O1107" s="2"/>
      <c r="P1107" s="2"/>
      <c r="Q1107" s="2"/>
      <c r="R1107" s="4"/>
    </row>
    <row r="1108" ht="14.25" customHeight="1">
      <c r="K1108" s="2">
        <v>0.01106</v>
      </c>
      <c r="L1108" s="2">
        <f t="shared" si="6"/>
        <v>0.0002446172812</v>
      </c>
      <c r="M1108" s="2">
        <f t="shared" si="7"/>
        <v>0.2835114289</v>
      </c>
      <c r="N1108" s="2">
        <f t="shared" si="8"/>
        <v>0.04266221053</v>
      </c>
      <c r="O1108" s="2"/>
      <c r="P1108" s="2"/>
      <c r="Q1108" s="2"/>
      <c r="R1108" s="4"/>
    </row>
    <row r="1109" ht="14.25" customHeight="1">
      <c r="K1109" s="2">
        <v>0.01107</v>
      </c>
      <c r="L1109" s="2">
        <f t="shared" si="6"/>
        <v>0.0002450597729</v>
      </c>
      <c r="M1109" s="2">
        <f t="shared" si="7"/>
        <v>0.2840242767</v>
      </c>
      <c r="N1109" s="2">
        <f t="shared" si="8"/>
        <v>0.04271782685</v>
      </c>
      <c r="O1109" s="2"/>
      <c r="P1109" s="2"/>
      <c r="Q1109" s="2"/>
      <c r="R1109" s="4"/>
    </row>
    <row r="1110" ht="14.25" customHeight="1">
      <c r="K1110" s="2">
        <v>0.01108</v>
      </c>
      <c r="L1110" s="2">
        <f t="shared" si="6"/>
        <v>0.0002455026642</v>
      </c>
      <c r="M1110" s="2">
        <f t="shared" si="7"/>
        <v>0.2845375878</v>
      </c>
      <c r="N1110" s="2">
        <f t="shared" si="8"/>
        <v>0.04277348936</v>
      </c>
      <c r="O1110" s="2"/>
      <c r="P1110" s="2"/>
      <c r="Q1110" s="2"/>
      <c r="R1110" s="4"/>
    </row>
    <row r="1111" ht="14.25" customHeight="1">
      <c r="K1111" s="2">
        <v>0.01109</v>
      </c>
      <c r="L1111" s="2">
        <f t="shared" si="6"/>
        <v>0.0002459459553</v>
      </c>
      <c r="M1111" s="2">
        <f t="shared" si="7"/>
        <v>0.2850513622</v>
      </c>
      <c r="N1111" s="2">
        <f t="shared" si="8"/>
        <v>0.04282919809</v>
      </c>
      <c r="O1111" s="2"/>
      <c r="P1111" s="2"/>
      <c r="Q1111" s="2"/>
      <c r="R1111" s="4"/>
    </row>
    <row r="1112" ht="14.25" customHeight="1">
      <c r="K1112" s="2">
        <v>0.0111</v>
      </c>
      <c r="L1112" s="2">
        <f t="shared" si="6"/>
        <v>0.0002463896461</v>
      </c>
      <c r="M1112" s="2">
        <f t="shared" si="7"/>
        <v>0.2855655998</v>
      </c>
      <c r="N1112" s="2">
        <f t="shared" si="8"/>
        <v>0.04288495309</v>
      </c>
      <c r="O1112" s="2"/>
      <c r="P1112" s="2"/>
      <c r="Q1112" s="2"/>
      <c r="R1112" s="4"/>
    </row>
    <row r="1113" ht="14.25" customHeight="1">
      <c r="K1113" s="2">
        <v>0.01111</v>
      </c>
      <c r="L1113" s="2">
        <f t="shared" si="6"/>
        <v>0.0002468337366</v>
      </c>
      <c r="M1113" s="2">
        <f t="shared" si="7"/>
        <v>0.2860803007</v>
      </c>
      <c r="N1113" s="2">
        <f t="shared" si="8"/>
        <v>0.0429407544</v>
      </c>
      <c r="O1113" s="2"/>
      <c r="P1113" s="2"/>
      <c r="Q1113" s="2"/>
      <c r="R1113" s="4"/>
    </row>
    <row r="1114" ht="14.25" customHeight="1">
      <c r="K1114" s="2">
        <v>0.01112</v>
      </c>
      <c r="L1114" s="2">
        <f t="shared" si="6"/>
        <v>0.0002472782267</v>
      </c>
      <c r="M1114" s="2">
        <f t="shared" si="7"/>
        <v>0.2865954648</v>
      </c>
      <c r="N1114" s="2">
        <f t="shared" si="8"/>
        <v>0.04299660207</v>
      </c>
      <c r="O1114" s="2"/>
      <c r="P1114" s="2"/>
      <c r="Q1114" s="2"/>
      <c r="R1114" s="4"/>
    </row>
    <row r="1115" ht="14.25" customHeight="1">
      <c r="K1115" s="2">
        <v>0.01113</v>
      </c>
      <c r="L1115" s="2">
        <f t="shared" si="6"/>
        <v>0.0002477231166</v>
      </c>
      <c r="M1115" s="2">
        <f t="shared" si="7"/>
        <v>0.2871110922</v>
      </c>
      <c r="N1115" s="2">
        <f t="shared" si="8"/>
        <v>0.04305249612</v>
      </c>
      <c r="O1115" s="2"/>
      <c r="P1115" s="2"/>
      <c r="Q1115" s="2"/>
      <c r="R1115" s="4"/>
    </row>
    <row r="1116" ht="14.25" customHeight="1">
      <c r="K1116" s="2">
        <v>0.01114</v>
      </c>
      <c r="L1116" s="2">
        <f t="shared" si="6"/>
        <v>0.0002481684062</v>
      </c>
      <c r="M1116" s="2">
        <f t="shared" si="7"/>
        <v>0.2876271828</v>
      </c>
      <c r="N1116" s="2">
        <f t="shared" si="8"/>
        <v>0.04310843661</v>
      </c>
      <c r="O1116" s="2"/>
      <c r="P1116" s="2"/>
      <c r="Q1116" s="2"/>
      <c r="R1116" s="4"/>
    </row>
    <row r="1117" ht="14.25" customHeight="1">
      <c r="K1117" s="2">
        <v>0.01115</v>
      </c>
      <c r="L1117" s="2">
        <f t="shared" si="6"/>
        <v>0.0002486140955</v>
      </c>
      <c r="M1117" s="2">
        <f t="shared" si="7"/>
        <v>0.2881437367</v>
      </c>
      <c r="N1117" s="2">
        <f t="shared" si="8"/>
        <v>0.04316442358</v>
      </c>
      <c r="O1117" s="2"/>
      <c r="P1117" s="2"/>
      <c r="Q1117" s="2"/>
      <c r="R1117" s="4"/>
    </row>
    <row r="1118" ht="14.25" customHeight="1">
      <c r="K1118" s="2">
        <v>0.01116</v>
      </c>
      <c r="L1118" s="2">
        <f t="shared" si="6"/>
        <v>0.0002490601845</v>
      </c>
      <c r="M1118" s="2">
        <f t="shared" si="7"/>
        <v>0.2886607538</v>
      </c>
      <c r="N1118" s="2">
        <f t="shared" si="8"/>
        <v>0.04322045706</v>
      </c>
      <c r="O1118" s="2"/>
      <c r="P1118" s="2"/>
      <c r="Q1118" s="2"/>
      <c r="R1118" s="4"/>
    </row>
    <row r="1119" ht="14.25" customHeight="1">
      <c r="K1119" s="2">
        <v>0.01117</v>
      </c>
      <c r="L1119" s="2">
        <f t="shared" si="6"/>
        <v>0.0002495066732</v>
      </c>
      <c r="M1119" s="2">
        <f t="shared" si="7"/>
        <v>0.2891782343</v>
      </c>
      <c r="N1119" s="2">
        <f t="shared" si="8"/>
        <v>0.0432765371</v>
      </c>
      <c r="O1119" s="2"/>
      <c r="P1119" s="2"/>
      <c r="Q1119" s="2"/>
      <c r="R1119" s="4"/>
    </row>
    <row r="1120" ht="14.25" customHeight="1">
      <c r="K1120" s="2">
        <v>0.01118</v>
      </c>
      <c r="L1120" s="2">
        <f t="shared" si="6"/>
        <v>0.0002499535616</v>
      </c>
      <c r="M1120" s="2">
        <f t="shared" si="7"/>
        <v>0.2896961779</v>
      </c>
      <c r="N1120" s="2">
        <f t="shared" si="8"/>
        <v>0.04333266375</v>
      </c>
      <c r="O1120" s="2"/>
      <c r="P1120" s="2"/>
      <c r="Q1120" s="2"/>
      <c r="R1120" s="4"/>
    </row>
    <row r="1121" ht="14.25" customHeight="1">
      <c r="K1121" s="2">
        <v>0.01119</v>
      </c>
      <c r="L1121" s="2">
        <f t="shared" si="6"/>
        <v>0.0002504008497</v>
      </c>
      <c r="M1121" s="2">
        <f t="shared" si="7"/>
        <v>0.2902145848</v>
      </c>
      <c r="N1121" s="2">
        <f t="shared" si="8"/>
        <v>0.04338883703</v>
      </c>
      <c r="O1121" s="2"/>
      <c r="P1121" s="2"/>
      <c r="Q1121" s="2"/>
      <c r="R1121" s="4"/>
    </row>
    <row r="1122" ht="14.25" customHeight="1">
      <c r="K1122" s="2">
        <v>0.0112</v>
      </c>
      <c r="L1122" s="2">
        <f t="shared" si="6"/>
        <v>0.0002508485375</v>
      </c>
      <c r="M1122" s="2">
        <f t="shared" si="7"/>
        <v>0.290733455</v>
      </c>
      <c r="N1122" s="2">
        <f t="shared" si="8"/>
        <v>0.043445057</v>
      </c>
      <c r="O1122" s="2"/>
      <c r="P1122" s="2"/>
      <c r="Q1122" s="2"/>
      <c r="R1122" s="4"/>
    </row>
    <row r="1123" ht="14.25" customHeight="1">
      <c r="K1123" s="2">
        <v>0.01121</v>
      </c>
      <c r="L1123" s="2">
        <f t="shared" si="6"/>
        <v>0.000251296625</v>
      </c>
      <c r="M1123" s="2">
        <f t="shared" si="7"/>
        <v>0.2912527884</v>
      </c>
      <c r="N1123" s="2">
        <f t="shared" si="8"/>
        <v>0.0435013237</v>
      </c>
      <c r="O1123" s="2"/>
      <c r="P1123" s="2"/>
      <c r="Q1123" s="2"/>
      <c r="R1123" s="4"/>
    </row>
    <row r="1124" ht="14.25" customHeight="1">
      <c r="K1124" s="2">
        <v>0.01122</v>
      </c>
      <c r="L1124" s="2">
        <f t="shared" si="6"/>
        <v>0.0002517451122</v>
      </c>
      <c r="M1124" s="2">
        <f t="shared" si="7"/>
        <v>0.291772585</v>
      </c>
      <c r="N1124" s="2">
        <f t="shared" si="8"/>
        <v>0.04355763717</v>
      </c>
      <c r="O1124" s="2"/>
      <c r="P1124" s="2"/>
      <c r="Q1124" s="2"/>
      <c r="R1124" s="4"/>
    </row>
    <row r="1125" ht="14.25" customHeight="1">
      <c r="K1125" s="2">
        <v>0.01123</v>
      </c>
      <c r="L1125" s="2">
        <f t="shared" si="6"/>
        <v>0.0002521939991</v>
      </c>
      <c r="M1125" s="2">
        <f t="shared" si="7"/>
        <v>0.2922928449</v>
      </c>
      <c r="N1125" s="2">
        <f t="shared" si="8"/>
        <v>0.04361399744</v>
      </c>
      <c r="O1125" s="2"/>
      <c r="P1125" s="2"/>
      <c r="Q1125" s="2"/>
      <c r="R1125" s="4"/>
    </row>
    <row r="1126" ht="14.25" customHeight="1">
      <c r="K1126" s="2">
        <v>0.01124</v>
      </c>
      <c r="L1126" s="2">
        <f t="shared" si="6"/>
        <v>0.0002526432857</v>
      </c>
      <c r="M1126" s="2">
        <f t="shared" si="7"/>
        <v>0.2928135681</v>
      </c>
      <c r="N1126" s="2">
        <f t="shared" si="8"/>
        <v>0.04367040456</v>
      </c>
      <c r="O1126" s="2"/>
      <c r="P1126" s="2"/>
      <c r="Q1126" s="2"/>
      <c r="R1126" s="4"/>
    </row>
    <row r="1127" ht="14.25" customHeight="1">
      <c r="K1127" s="2">
        <v>0.01125</v>
      </c>
      <c r="L1127" s="2">
        <f t="shared" si="6"/>
        <v>0.000253092972</v>
      </c>
      <c r="M1127" s="2">
        <f t="shared" si="7"/>
        <v>0.2933347545</v>
      </c>
      <c r="N1127" s="2">
        <f t="shared" si="8"/>
        <v>0.04372685858</v>
      </c>
      <c r="O1127" s="2"/>
      <c r="P1127" s="2"/>
      <c r="Q1127" s="2"/>
      <c r="R1127" s="4"/>
    </row>
    <row r="1128" ht="14.25" customHeight="1">
      <c r="K1128" s="2">
        <v>0.01126</v>
      </c>
      <c r="L1128" s="2">
        <f t="shared" si="6"/>
        <v>0.000253543058</v>
      </c>
      <c r="M1128" s="2">
        <f t="shared" si="7"/>
        <v>0.2938564042</v>
      </c>
      <c r="N1128" s="2">
        <f t="shared" si="8"/>
        <v>0.04378335953</v>
      </c>
      <c r="O1128" s="2"/>
      <c r="P1128" s="2"/>
      <c r="Q1128" s="2"/>
      <c r="R1128" s="4"/>
    </row>
    <row r="1129" ht="14.25" customHeight="1">
      <c r="K1129" s="2">
        <v>0.01127</v>
      </c>
      <c r="L1129" s="2">
        <f t="shared" si="6"/>
        <v>0.0002539935436</v>
      </c>
      <c r="M1129" s="2">
        <f t="shared" si="7"/>
        <v>0.2943785171</v>
      </c>
      <c r="N1129" s="2">
        <f t="shared" si="8"/>
        <v>0.04383990746</v>
      </c>
      <c r="O1129" s="2"/>
      <c r="P1129" s="2"/>
      <c r="Q1129" s="2"/>
      <c r="R1129" s="4"/>
    </row>
    <row r="1130" ht="14.25" customHeight="1">
      <c r="K1130" s="2">
        <v>0.01128</v>
      </c>
      <c r="L1130" s="2">
        <f t="shared" si="6"/>
        <v>0.000254444429</v>
      </c>
      <c r="M1130" s="2">
        <f t="shared" si="7"/>
        <v>0.2949010932</v>
      </c>
      <c r="N1130" s="2">
        <f t="shared" si="8"/>
        <v>0.0438965024</v>
      </c>
      <c r="O1130" s="2"/>
      <c r="P1130" s="2"/>
      <c r="Q1130" s="2"/>
      <c r="R1130" s="4"/>
    </row>
    <row r="1131" ht="14.25" customHeight="1">
      <c r="K1131" s="2">
        <v>0.01129</v>
      </c>
      <c r="L1131" s="2">
        <f t="shared" si="6"/>
        <v>0.0002548957141</v>
      </c>
      <c r="M1131" s="2">
        <f t="shared" si="7"/>
        <v>0.2954241326</v>
      </c>
      <c r="N1131" s="2">
        <f t="shared" si="8"/>
        <v>0.04395314441</v>
      </c>
      <c r="O1131" s="2"/>
      <c r="P1131" s="2"/>
      <c r="Q1131" s="2"/>
      <c r="R1131" s="4"/>
    </row>
    <row r="1132" ht="14.25" customHeight="1">
      <c r="K1132" s="2">
        <v>0.0113</v>
      </c>
      <c r="L1132" s="2">
        <f t="shared" si="6"/>
        <v>0.0002553473989</v>
      </c>
      <c r="M1132" s="2">
        <f t="shared" si="7"/>
        <v>0.2959476353</v>
      </c>
      <c r="N1132" s="2">
        <f t="shared" si="8"/>
        <v>0.04400983351</v>
      </c>
      <c r="O1132" s="2"/>
      <c r="P1132" s="2"/>
      <c r="Q1132" s="2"/>
      <c r="R1132" s="4"/>
    </row>
    <row r="1133" ht="14.25" customHeight="1">
      <c r="K1133" s="2">
        <v>0.01131</v>
      </c>
      <c r="L1133" s="2">
        <f t="shared" si="6"/>
        <v>0.0002557994833</v>
      </c>
      <c r="M1133" s="2">
        <f t="shared" si="7"/>
        <v>0.2964716012</v>
      </c>
      <c r="N1133" s="2">
        <f t="shared" si="8"/>
        <v>0.04406656975</v>
      </c>
      <c r="O1133" s="2"/>
      <c r="P1133" s="2"/>
      <c r="Q1133" s="2"/>
      <c r="R1133" s="4"/>
    </row>
    <row r="1134" ht="14.25" customHeight="1">
      <c r="K1134" s="2">
        <v>0.01132</v>
      </c>
      <c r="L1134" s="2">
        <f t="shared" si="6"/>
        <v>0.0002562519675</v>
      </c>
      <c r="M1134" s="2">
        <f t="shared" si="7"/>
        <v>0.2969960303</v>
      </c>
      <c r="N1134" s="2">
        <f t="shared" si="8"/>
        <v>0.04412335318</v>
      </c>
      <c r="O1134" s="2"/>
      <c r="P1134" s="2"/>
      <c r="Q1134" s="2"/>
      <c r="R1134" s="4"/>
    </row>
    <row r="1135" ht="14.25" customHeight="1">
      <c r="K1135" s="2">
        <v>0.01133</v>
      </c>
      <c r="L1135" s="2">
        <f t="shared" si="6"/>
        <v>0.0002567048513</v>
      </c>
      <c r="M1135" s="2">
        <f t="shared" si="7"/>
        <v>0.2975209227</v>
      </c>
      <c r="N1135" s="2">
        <f t="shared" si="8"/>
        <v>0.04418018384</v>
      </c>
      <c r="O1135" s="2"/>
      <c r="P1135" s="2"/>
      <c r="Q1135" s="2"/>
      <c r="R1135" s="4"/>
    </row>
    <row r="1136" ht="14.25" customHeight="1">
      <c r="K1136" s="2">
        <v>0.01134</v>
      </c>
      <c r="L1136" s="2">
        <f t="shared" si="6"/>
        <v>0.0002571581348</v>
      </c>
      <c r="M1136" s="2">
        <f t="shared" si="7"/>
        <v>0.2980462783</v>
      </c>
      <c r="N1136" s="2">
        <f t="shared" si="8"/>
        <v>0.04423706176</v>
      </c>
      <c r="O1136" s="2"/>
      <c r="P1136" s="2"/>
      <c r="Q1136" s="2"/>
      <c r="R1136" s="4"/>
    </row>
    <row r="1137" ht="14.25" customHeight="1">
      <c r="K1137" s="2">
        <v>0.01135</v>
      </c>
      <c r="L1137" s="2">
        <f t="shared" si="6"/>
        <v>0.0002576118181</v>
      </c>
      <c r="M1137" s="2">
        <f t="shared" si="7"/>
        <v>0.2985720971</v>
      </c>
      <c r="N1137" s="2">
        <f t="shared" si="8"/>
        <v>0.04429398699</v>
      </c>
      <c r="O1137" s="2"/>
      <c r="P1137" s="2"/>
      <c r="Q1137" s="2"/>
      <c r="R1137" s="4"/>
    </row>
    <row r="1138" ht="14.25" customHeight="1">
      <c r="K1138" s="2">
        <v>0.01136</v>
      </c>
      <c r="L1138" s="2">
        <f t="shared" si="6"/>
        <v>0.000258065901</v>
      </c>
      <c r="M1138" s="2">
        <f t="shared" si="7"/>
        <v>0.2990983793</v>
      </c>
      <c r="N1138" s="2">
        <f t="shared" si="8"/>
        <v>0.04435095957</v>
      </c>
      <c r="O1138" s="2"/>
      <c r="P1138" s="2"/>
      <c r="Q1138" s="2"/>
      <c r="R1138" s="4"/>
    </row>
    <row r="1139" ht="14.25" customHeight="1">
      <c r="K1139" s="2">
        <v>0.01137</v>
      </c>
      <c r="L1139" s="2">
        <f t="shared" si="6"/>
        <v>0.0002585203836</v>
      </c>
      <c r="M1139" s="2">
        <f t="shared" si="7"/>
        <v>0.2996251246</v>
      </c>
      <c r="N1139" s="2">
        <f t="shared" si="8"/>
        <v>0.04440797954</v>
      </c>
      <c r="O1139" s="2"/>
      <c r="P1139" s="2"/>
      <c r="Q1139" s="2"/>
      <c r="R1139" s="4"/>
    </row>
    <row r="1140" ht="14.25" customHeight="1">
      <c r="K1140" s="2">
        <v>0.01138</v>
      </c>
      <c r="L1140" s="2">
        <f t="shared" si="6"/>
        <v>0.0002589752659</v>
      </c>
      <c r="M1140" s="2">
        <f t="shared" si="7"/>
        <v>0.3001523332</v>
      </c>
      <c r="N1140" s="2">
        <f t="shared" si="8"/>
        <v>0.04446504694</v>
      </c>
      <c r="O1140" s="2"/>
      <c r="P1140" s="2"/>
      <c r="Q1140" s="2"/>
      <c r="R1140" s="4"/>
    </row>
    <row r="1141" ht="14.25" customHeight="1">
      <c r="K1141" s="2">
        <v>0.01139</v>
      </c>
      <c r="L1141" s="2">
        <f t="shared" si="6"/>
        <v>0.0002594305479</v>
      </c>
      <c r="M1141" s="2">
        <f t="shared" si="7"/>
        <v>0.300680005</v>
      </c>
      <c r="N1141" s="2">
        <f t="shared" si="8"/>
        <v>0.04452216182</v>
      </c>
      <c r="O1141" s="2"/>
      <c r="P1141" s="2"/>
      <c r="Q1141" s="2"/>
      <c r="R1141" s="4"/>
    </row>
    <row r="1142" ht="14.25" customHeight="1">
      <c r="K1142" s="2">
        <v>0.0114</v>
      </c>
      <c r="L1142" s="2">
        <f t="shared" si="6"/>
        <v>0.0002598862296</v>
      </c>
      <c r="M1142" s="2">
        <f t="shared" si="7"/>
        <v>0.3012081401</v>
      </c>
      <c r="N1142" s="2">
        <f t="shared" si="8"/>
        <v>0.04457932422</v>
      </c>
      <c r="O1142" s="2"/>
      <c r="P1142" s="2"/>
      <c r="Q1142" s="2"/>
      <c r="R1142" s="4"/>
    </row>
    <row r="1143" ht="14.25" customHeight="1">
      <c r="K1143" s="2">
        <v>0.01141</v>
      </c>
      <c r="L1143" s="2">
        <f t="shared" si="6"/>
        <v>0.0002603423109</v>
      </c>
      <c r="M1143" s="2">
        <f t="shared" si="7"/>
        <v>0.3017367384</v>
      </c>
      <c r="N1143" s="2">
        <f t="shared" si="8"/>
        <v>0.04463653417</v>
      </c>
      <c r="O1143" s="2"/>
      <c r="P1143" s="2"/>
      <c r="Q1143" s="2"/>
      <c r="R1143" s="4"/>
    </row>
    <row r="1144" ht="14.25" customHeight="1">
      <c r="K1144" s="2">
        <v>0.01142</v>
      </c>
      <c r="L1144" s="2">
        <f t="shared" si="6"/>
        <v>0.000260798792</v>
      </c>
      <c r="M1144" s="2">
        <f t="shared" si="7"/>
        <v>0.3022657999</v>
      </c>
      <c r="N1144" s="2">
        <f t="shared" si="8"/>
        <v>0.04469379173</v>
      </c>
      <c r="O1144" s="2"/>
      <c r="P1144" s="2"/>
      <c r="Q1144" s="2"/>
      <c r="R1144" s="4"/>
    </row>
    <row r="1145" ht="14.25" customHeight="1">
      <c r="K1145" s="2">
        <v>0.01143</v>
      </c>
      <c r="L1145" s="2">
        <f t="shared" si="6"/>
        <v>0.0002612556727</v>
      </c>
      <c r="M1145" s="2">
        <f t="shared" si="7"/>
        <v>0.3027953247</v>
      </c>
      <c r="N1145" s="2">
        <f t="shared" si="8"/>
        <v>0.04475109692</v>
      </c>
      <c r="O1145" s="2"/>
      <c r="P1145" s="2"/>
      <c r="Q1145" s="2"/>
      <c r="R1145" s="4"/>
    </row>
    <row r="1146" ht="14.25" customHeight="1">
      <c r="K1146" s="2">
        <v>0.01144</v>
      </c>
      <c r="L1146" s="2">
        <f t="shared" si="6"/>
        <v>0.0002617129532</v>
      </c>
      <c r="M1146" s="2">
        <f t="shared" si="7"/>
        <v>0.3033253127</v>
      </c>
      <c r="N1146" s="2">
        <f t="shared" si="8"/>
        <v>0.0448084498</v>
      </c>
      <c r="O1146" s="2"/>
      <c r="P1146" s="2"/>
      <c r="Q1146" s="2"/>
      <c r="R1146" s="4"/>
    </row>
    <row r="1147" ht="14.25" customHeight="1">
      <c r="K1147" s="2">
        <v>0.01145</v>
      </c>
      <c r="L1147" s="2">
        <f t="shared" si="6"/>
        <v>0.0002621706333</v>
      </c>
      <c r="M1147" s="2">
        <f t="shared" si="7"/>
        <v>0.303855764</v>
      </c>
      <c r="N1147" s="2">
        <f t="shared" si="8"/>
        <v>0.0448658504</v>
      </c>
      <c r="O1147" s="2"/>
      <c r="P1147" s="2"/>
      <c r="Q1147" s="2"/>
      <c r="R1147" s="4"/>
    </row>
    <row r="1148" ht="14.25" customHeight="1">
      <c r="K1148" s="2">
        <v>0.01146</v>
      </c>
      <c r="L1148" s="2">
        <f t="shared" si="6"/>
        <v>0.0002626287131</v>
      </c>
      <c r="M1148" s="2">
        <f t="shared" si="7"/>
        <v>0.3043866785</v>
      </c>
      <c r="N1148" s="2">
        <f t="shared" si="8"/>
        <v>0.04492329877</v>
      </c>
      <c r="O1148" s="2"/>
      <c r="P1148" s="2"/>
      <c r="Q1148" s="2"/>
      <c r="R1148" s="4"/>
    </row>
    <row r="1149" ht="14.25" customHeight="1">
      <c r="K1149" s="2">
        <v>0.01147</v>
      </c>
      <c r="L1149" s="2">
        <f t="shared" si="6"/>
        <v>0.0002630871926</v>
      </c>
      <c r="M1149" s="2">
        <f t="shared" si="7"/>
        <v>0.3049180562</v>
      </c>
      <c r="N1149" s="2">
        <f t="shared" si="8"/>
        <v>0.04498079495</v>
      </c>
      <c r="O1149" s="2"/>
      <c r="P1149" s="2"/>
      <c r="Q1149" s="2"/>
      <c r="R1149" s="4"/>
    </row>
    <row r="1150" ht="14.25" customHeight="1">
      <c r="K1150" s="2">
        <v>0.01148</v>
      </c>
      <c r="L1150" s="2">
        <f t="shared" si="6"/>
        <v>0.0002635460717</v>
      </c>
      <c r="M1150" s="2">
        <f t="shared" si="7"/>
        <v>0.3054498971</v>
      </c>
      <c r="N1150" s="2">
        <f t="shared" si="8"/>
        <v>0.04503833898</v>
      </c>
      <c r="O1150" s="2"/>
      <c r="P1150" s="2"/>
      <c r="Q1150" s="2"/>
      <c r="R1150" s="4"/>
    </row>
    <row r="1151" ht="14.25" customHeight="1">
      <c r="K1151" s="2">
        <v>0.01149</v>
      </c>
      <c r="L1151" s="2">
        <f t="shared" si="6"/>
        <v>0.0002640053506</v>
      </c>
      <c r="M1151" s="2">
        <f t="shared" si="7"/>
        <v>0.3059822013</v>
      </c>
      <c r="N1151" s="2">
        <f t="shared" si="8"/>
        <v>0.04509593089</v>
      </c>
      <c r="O1151" s="2"/>
      <c r="P1151" s="2"/>
      <c r="Q1151" s="2"/>
      <c r="R1151" s="4"/>
    </row>
    <row r="1152" ht="14.25" customHeight="1">
      <c r="K1152" s="2">
        <v>0.0115</v>
      </c>
      <c r="L1152" s="2">
        <f t="shared" si="6"/>
        <v>0.0002644650291</v>
      </c>
      <c r="M1152" s="2">
        <f t="shared" si="7"/>
        <v>0.3065149688</v>
      </c>
      <c r="N1152" s="2">
        <f t="shared" si="8"/>
        <v>0.04515357074</v>
      </c>
      <c r="O1152" s="2"/>
      <c r="P1152" s="2"/>
      <c r="Q1152" s="2"/>
      <c r="R1152" s="4"/>
    </row>
    <row r="1153" ht="14.25" customHeight="1">
      <c r="K1153" s="2">
        <v>0.01151</v>
      </c>
      <c r="L1153" s="2">
        <f t="shared" si="6"/>
        <v>0.0002649251073</v>
      </c>
      <c r="M1153" s="2">
        <f t="shared" si="7"/>
        <v>0.3070481994</v>
      </c>
      <c r="N1153" s="2">
        <f t="shared" si="8"/>
        <v>0.04521125857</v>
      </c>
      <c r="O1153" s="2"/>
      <c r="P1153" s="2"/>
      <c r="Q1153" s="2"/>
      <c r="R1153" s="4"/>
    </row>
    <row r="1154" ht="14.25" customHeight="1">
      <c r="K1154" s="2">
        <v>0.01152</v>
      </c>
      <c r="L1154" s="2">
        <f t="shared" si="6"/>
        <v>0.0002653855852</v>
      </c>
      <c r="M1154" s="2">
        <f t="shared" si="7"/>
        <v>0.3075818933</v>
      </c>
      <c r="N1154" s="2">
        <f t="shared" si="8"/>
        <v>0.04526899441</v>
      </c>
      <c r="O1154" s="2"/>
      <c r="P1154" s="2"/>
      <c r="Q1154" s="2"/>
      <c r="R1154" s="4"/>
    </row>
    <row r="1155" ht="14.25" customHeight="1">
      <c r="K1155" s="2">
        <v>0.01153</v>
      </c>
      <c r="L1155" s="2">
        <f t="shared" si="6"/>
        <v>0.0002658464628</v>
      </c>
      <c r="M1155" s="2">
        <f t="shared" si="7"/>
        <v>0.3081160504</v>
      </c>
      <c r="N1155" s="2">
        <f t="shared" si="8"/>
        <v>0.04532677831</v>
      </c>
      <c r="O1155" s="2"/>
      <c r="P1155" s="2"/>
      <c r="Q1155" s="2"/>
      <c r="R1155" s="4"/>
    </row>
    <row r="1156" ht="14.25" customHeight="1">
      <c r="K1156" s="2">
        <v>0.01154</v>
      </c>
      <c r="L1156" s="2">
        <f t="shared" si="6"/>
        <v>0.0002663077401</v>
      </c>
      <c r="M1156" s="2">
        <f t="shared" si="7"/>
        <v>0.3086506708</v>
      </c>
      <c r="N1156" s="2">
        <f t="shared" si="8"/>
        <v>0.0453846103</v>
      </c>
      <c r="O1156" s="2"/>
      <c r="P1156" s="2"/>
      <c r="Q1156" s="2"/>
      <c r="R1156" s="4"/>
    </row>
    <row r="1157" ht="14.25" customHeight="1">
      <c r="K1157" s="2">
        <v>0.01155</v>
      </c>
      <c r="L1157" s="2">
        <f t="shared" si="6"/>
        <v>0.000266769417</v>
      </c>
      <c r="M1157" s="2">
        <f t="shared" si="7"/>
        <v>0.3091857543</v>
      </c>
      <c r="N1157" s="2">
        <f t="shared" si="8"/>
        <v>0.04544249044</v>
      </c>
      <c r="O1157" s="2"/>
      <c r="P1157" s="2"/>
      <c r="Q1157" s="2"/>
      <c r="R1157" s="4"/>
    </row>
    <row r="1158" ht="14.25" customHeight="1">
      <c r="K1158" s="2">
        <v>0.01156</v>
      </c>
      <c r="L1158" s="2">
        <f t="shared" si="6"/>
        <v>0.0002672314937</v>
      </c>
      <c r="M1158" s="2">
        <f t="shared" si="7"/>
        <v>0.3097213012</v>
      </c>
      <c r="N1158" s="2">
        <f t="shared" si="8"/>
        <v>0.04550041876</v>
      </c>
      <c r="O1158" s="2"/>
      <c r="P1158" s="2"/>
      <c r="Q1158" s="2"/>
      <c r="R1158" s="4"/>
    </row>
    <row r="1159" ht="14.25" customHeight="1">
      <c r="K1159" s="2">
        <v>0.01157</v>
      </c>
      <c r="L1159" s="2">
        <f t="shared" si="6"/>
        <v>0.00026769397</v>
      </c>
      <c r="M1159" s="2">
        <f t="shared" si="7"/>
        <v>0.3102573112</v>
      </c>
      <c r="N1159" s="2">
        <f t="shared" si="8"/>
        <v>0.0455583953</v>
      </c>
      <c r="O1159" s="2"/>
      <c r="P1159" s="2"/>
      <c r="Q1159" s="2"/>
      <c r="R1159" s="4"/>
    </row>
    <row r="1160" ht="14.25" customHeight="1">
      <c r="K1160" s="2">
        <v>0.01158</v>
      </c>
      <c r="L1160" s="2">
        <f t="shared" si="6"/>
        <v>0.000268156846</v>
      </c>
      <c r="M1160" s="2">
        <f t="shared" si="7"/>
        <v>0.3107937845</v>
      </c>
      <c r="N1160" s="2">
        <f t="shared" si="8"/>
        <v>0.04561642011</v>
      </c>
      <c r="O1160" s="2"/>
      <c r="P1160" s="2"/>
      <c r="Q1160" s="2"/>
      <c r="R1160" s="4"/>
    </row>
    <row r="1161" ht="14.25" customHeight="1">
      <c r="K1161" s="2">
        <v>0.01159</v>
      </c>
      <c r="L1161" s="2">
        <f t="shared" si="6"/>
        <v>0.0002686201216</v>
      </c>
      <c r="M1161" s="2">
        <f t="shared" si="7"/>
        <v>0.311330721</v>
      </c>
      <c r="N1161" s="2">
        <f t="shared" si="8"/>
        <v>0.04567449323</v>
      </c>
      <c r="O1161" s="2"/>
      <c r="P1161" s="2"/>
      <c r="Q1161" s="2"/>
      <c r="R1161" s="4"/>
    </row>
    <row r="1162" ht="14.25" customHeight="1">
      <c r="K1162" s="2">
        <v>0.0116</v>
      </c>
      <c r="L1162" s="2">
        <f t="shared" si="6"/>
        <v>0.000269083797</v>
      </c>
      <c r="M1162" s="2">
        <f t="shared" si="7"/>
        <v>0.3118681207</v>
      </c>
      <c r="N1162" s="2">
        <f t="shared" si="8"/>
        <v>0.04573261469</v>
      </c>
      <c r="O1162" s="2"/>
      <c r="P1162" s="2"/>
      <c r="Q1162" s="2"/>
      <c r="R1162" s="4"/>
    </row>
    <row r="1163" ht="14.25" customHeight="1">
      <c r="K1163" s="2">
        <v>0.01161</v>
      </c>
      <c r="L1163" s="2">
        <f t="shared" si="6"/>
        <v>0.000269547872</v>
      </c>
      <c r="M1163" s="2">
        <f t="shared" si="7"/>
        <v>0.3124059836</v>
      </c>
      <c r="N1163" s="2">
        <f t="shared" si="8"/>
        <v>0.04579078455</v>
      </c>
      <c r="O1163" s="2"/>
      <c r="P1163" s="2"/>
      <c r="Q1163" s="2"/>
      <c r="R1163" s="4"/>
    </row>
    <row r="1164" ht="14.25" customHeight="1">
      <c r="K1164" s="2">
        <v>0.01162</v>
      </c>
      <c r="L1164" s="2">
        <f t="shared" si="6"/>
        <v>0.0002700123467</v>
      </c>
      <c r="M1164" s="2">
        <f t="shared" si="7"/>
        <v>0.3129443098</v>
      </c>
      <c r="N1164" s="2">
        <f t="shared" si="8"/>
        <v>0.04584900284</v>
      </c>
      <c r="O1164" s="2"/>
      <c r="P1164" s="2"/>
      <c r="Q1164" s="2"/>
      <c r="R1164" s="4"/>
    </row>
    <row r="1165" ht="14.25" customHeight="1">
      <c r="K1165" s="2">
        <v>0.01163</v>
      </c>
      <c r="L1165" s="2">
        <f t="shared" si="6"/>
        <v>0.000270477221</v>
      </c>
      <c r="M1165" s="2">
        <f t="shared" si="7"/>
        <v>0.3134830992</v>
      </c>
      <c r="N1165" s="2">
        <f t="shared" si="8"/>
        <v>0.0459072696</v>
      </c>
      <c r="O1165" s="2"/>
      <c r="P1165" s="2"/>
      <c r="Q1165" s="2"/>
      <c r="R1165" s="4"/>
    </row>
    <row r="1166" ht="14.25" customHeight="1">
      <c r="K1166" s="2">
        <v>0.01164</v>
      </c>
      <c r="L1166" s="2">
        <f t="shared" si="6"/>
        <v>0.0002709424951</v>
      </c>
      <c r="M1166" s="2">
        <f t="shared" si="7"/>
        <v>0.3140223518</v>
      </c>
      <c r="N1166" s="2">
        <f t="shared" si="8"/>
        <v>0.04596558487</v>
      </c>
      <c r="O1166" s="2"/>
      <c r="P1166" s="2"/>
      <c r="Q1166" s="2"/>
      <c r="R1166" s="4"/>
    </row>
    <row r="1167" ht="14.25" customHeight="1">
      <c r="K1167" s="2">
        <v>0.01165</v>
      </c>
      <c r="L1167" s="2">
        <f t="shared" si="6"/>
        <v>0.0002714081688</v>
      </c>
      <c r="M1167" s="2">
        <f t="shared" si="7"/>
        <v>0.3145620676</v>
      </c>
      <c r="N1167" s="2">
        <f t="shared" si="8"/>
        <v>0.04602394871</v>
      </c>
      <c r="O1167" s="2"/>
      <c r="P1167" s="2"/>
      <c r="Q1167" s="2"/>
      <c r="R1167" s="4"/>
    </row>
    <row r="1168" ht="14.25" customHeight="1">
      <c r="K1168" s="2">
        <v>0.01166</v>
      </c>
      <c r="L1168" s="2">
        <f t="shared" si="6"/>
        <v>0.0002718742422</v>
      </c>
      <c r="M1168" s="2">
        <f t="shared" si="7"/>
        <v>0.3151022467</v>
      </c>
      <c r="N1168" s="2">
        <f t="shared" si="8"/>
        <v>0.04608236114</v>
      </c>
      <c r="O1168" s="2"/>
      <c r="P1168" s="2"/>
      <c r="Q1168" s="2"/>
      <c r="R1168" s="4"/>
    </row>
    <row r="1169" ht="14.25" customHeight="1">
      <c r="K1169" s="2">
        <v>0.01167</v>
      </c>
      <c r="L1169" s="2">
        <f t="shared" si="6"/>
        <v>0.0002723407153</v>
      </c>
      <c r="M1169" s="2">
        <f t="shared" si="7"/>
        <v>0.315642889</v>
      </c>
      <c r="N1169" s="2">
        <f t="shared" si="8"/>
        <v>0.04614082221</v>
      </c>
      <c r="O1169" s="2"/>
      <c r="P1169" s="2"/>
      <c r="Q1169" s="2"/>
      <c r="R1169" s="4"/>
    </row>
    <row r="1170" ht="14.25" customHeight="1">
      <c r="K1170" s="2">
        <v>0.01168</v>
      </c>
      <c r="L1170" s="2">
        <f t="shared" si="6"/>
        <v>0.000272807588</v>
      </c>
      <c r="M1170" s="2">
        <f t="shared" si="7"/>
        <v>0.3161839945</v>
      </c>
      <c r="N1170" s="2">
        <f t="shared" si="8"/>
        <v>0.04619933196</v>
      </c>
      <c r="O1170" s="2"/>
      <c r="P1170" s="2"/>
      <c r="Q1170" s="2"/>
      <c r="R1170" s="4"/>
    </row>
    <row r="1171" ht="14.25" customHeight="1">
      <c r="K1171" s="2">
        <v>0.01169</v>
      </c>
      <c r="L1171" s="2">
        <f t="shared" si="6"/>
        <v>0.0002732748604</v>
      </c>
      <c r="M1171" s="2">
        <f t="shared" si="7"/>
        <v>0.3167255632</v>
      </c>
      <c r="N1171" s="2">
        <f t="shared" si="8"/>
        <v>0.04625789043</v>
      </c>
      <c r="O1171" s="2"/>
      <c r="P1171" s="2"/>
      <c r="Q1171" s="2"/>
      <c r="R1171" s="4"/>
    </row>
    <row r="1172" ht="14.25" customHeight="1">
      <c r="K1172" s="2">
        <v>0.0117</v>
      </c>
      <c r="L1172" s="2">
        <f t="shared" si="6"/>
        <v>0.0002737425325</v>
      </c>
      <c r="M1172" s="2">
        <f t="shared" si="7"/>
        <v>0.3172675952</v>
      </c>
      <c r="N1172" s="2">
        <f t="shared" si="8"/>
        <v>0.04631649767</v>
      </c>
      <c r="O1172" s="2"/>
      <c r="P1172" s="2"/>
      <c r="Q1172" s="2"/>
      <c r="R1172" s="4"/>
    </row>
    <row r="1173" ht="14.25" customHeight="1">
      <c r="K1173" s="2">
        <v>0.01171</v>
      </c>
      <c r="L1173" s="2">
        <f t="shared" si="6"/>
        <v>0.0002742106043</v>
      </c>
      <c r="M1173" s="2">
        <f t="shared" si="7"/>
        <v>0.3178100904</v>
      </c>
      <c r="N1173" s="2">
        <f t="shared" si="8"/>
        <v>0.04637515372</v>
      </c>
      <c r="O1173" s="2"/>
      <c r="P1173" s="2"/>
      <c r="Q1173" s="2"/>
      <c r="R1173" s="4"/>
    </row>
    <row r="1174" ht="14.25" customHeight="1">
      <c r="K1174" s="2">
        <v>0.01172</v>
      </c>
      <c r="L1174" s="2">
        <f t="shared" si="6"/>
        <v>0.0002746790757</v>
      </c>
      <c r="M1174" s="2">
        <f t="shared" si="7"/>
        <v>0.3183530487</v>
      </c>
      <c r="N1174" s="2">
        <f t="shared" si="8"/>
        <v>0.04643385862</v>
      </c>
      <c r="O1174" s="2"/>
      <c r="P1174" s="2"/>
      <c r="Q1174" s="2"/>
      <c r="R1174" s="4"/>
    </row>
    <row r="1175" ht="14.25" customHeight="1">
      <c r="K1175" s="2">
        <v>0.01173</v>
      </c>
      <c r="L1175" s="2">
        <f t="shared" si="6"/>
        <v>0.0002751479468</v>
      </c>
      <c r="M1175" s="2">
        <f t="shared" si="7"/>
        <v>0.3188964703</v>
      </c>
      <c r="N1175" s="2">
        <f t="shared" si="8"/>
        <v>0.0464926124</v>
      </c>
      <c r="O1175" s="2"/>
      <c r="P1175" s="2"/>
      <c r="Q1175" s="2"/>
      <c r="R1175" s="4"/>
    </row>
    <row r="1176" ht="14.25" customHeight="1">
      <c r="K1176" s="2">
        <v>0.01174</v>
      </c>
      <c r="L1176" s="2">
        <f t="shared" si="6"/>
        <v>0.0002756172176</v>
      </c>
      <c r="M1176" s="2">
        <f t="shared" si="7"/>
        <v>0.3194403552</v>
      </c>
      <c r="N1176" s="2">
        <f t="shared" si="8"/>
        <v>0.04655141511</v>
      </c>
      <c r="O1176" s="2"/>
      <c r="P1176" s="2"/>
      <c r="Q1176" s="2"/>
      <c r="R1176" s="4"/>
    </row>
    <row r="1177" ht="14.25" customHeight="1">
      <c r="K1177" s="2">
        <v>0.01175</v>
      </c>
      <c r="L1177" s="2">
        <f t="shared" si="6"/>
        <v>0.000276086888</v>
      </c>
      <c r="M1177" s="2">
        <f t="shared" si="7"/>
        <v>0.3199847032</v>
      </c>
      <c r="N1177" s="2">
        <f t="shared" si="8"/>
        <v>0.0466102668</v>
      </c>
      <c r="O1177" s="2"/>
      <c r="P1177" s="2"/>
      <c r="Q1177" s="2"/>
      <c r="R1177" s="4"/>
    </row>
    <row r="1178" ht="14.25" customHeight="1">
      <c r="K1178" s="2">
        <v>0.01176</v>
      </c>
      <c r="L1178" s="2">
        <f t="shared" si="6"/>
        <v>0.0002765569581</v>
      </c>
      <c r="M1178" s="2">
        <f t="shared" si="7"/>
        <v>0.3205295145</v>
      </c>
      <c r="N1178" s="2">
        <f t="shared" si="8"/>
        <v>0.0466691675</v>
      </c>
      <c r="O1178" s="2"/>
      <c r="P1178" s="2"/>
      <c r="Q1178" s="2"/>
      <c r="R1178" s="4"/>
    </row>
    <row r="1179" ht="14.25" customHeight="1">
      <c r="K1179" s="2">
        <v>0.01177</v>
      </c>
      <c r="L1179" s="2">
        <f t="shared" si="6"/>
        <v>0.0002770274279</v>
      </c>
      <c r="M1179" s="2">
        <f t="shared" si="7"/>
        <v>0.3210747889</v>
      </c>
      <c r="N1179" s="2">
        <f t="shared" si="8"/>
        <v>0.04672811726</v>
      </c>
      <c r="O1179" s="2"/>
      <c r="P1179" s="2"/>
      <c r="Q1179" s="2"/>
      <c r="R1179" s="4"/>
    </row>
    <row r="1180" ht="14.25" customHeight="1">
      <c r="K1180" s="2">
        <v>0.01178</v>
      </c>
      <c r="L1180" s="2">
        <f t="shared" si="6"/>
        <v>0.0002774982973</v>
      </c>
      <c r="M1180" s="2">
        <f t="shared" si="7"/>
        <v>0.3216205266</v>
      </c>
      <c r="N1180" s="2">
        <f t="shared" si="8"/>
        <v>0.04678711612</v>
      </c>
      <c r="O1180" s="2"/>
      <c r="P1180" s="2"/>
      <c r="Q1180" s="2"/>
      <c r="R1180" s="4"/>
    </row>
    <row r="1181" ht="14.25" customHeight="1">
      <c r="K1181" s="2">
        <v>0.01179</v>
      </c>
      <c r="L1181" s="2">
        <f t="shared" si="6"/>
        <v>0.0002779695665</v>
      </c>
      <c r="M1181" s="2">
        <f t="shared" si="7"/>
        <v>0.3221667275</v>
      </c>
      <c r="N1181" s="2">
        <f t="shared" si="8"/>
        <v>0.04684616411</v>
      </c>
      <c r="O1181" s="2"/>
      <c r="P1181" s="2"/>
      <c r="Q1181" s="2"/>
      <c r="R1181" s="4"/>
    </row>
    <row r="1182" ht="14.25" customHeight="1">
      <c r="K1182" s="2">
        <v>0.0118</v>
      </c>
      <c r="L1182" s="2">
        <f t="shared" si="6"/>
        <v>0.0002784412352</v>
      </c>
      <c r="M1182" s="2">
        <f t="shared" si="7"/>
        <v>0.3227133916</v>
      </c>
      <c r="N1182" s="2">
        <f t="shared" si="8"/>
        <v>0.04690526129</v>
      </c>
      <c r="O1182" s="2"/>
      <c r="P1182" s="2"/>
      <c r="Q1182" s="2"/>
      <c r="R1182" s="4"/>
    </row>
    <row r="1183" ht="14.25" customHeight="1">
      <c r="K1183" s="2">
        <v>0.01181</v>
      </c>
      <c r="L1183" s="2">
        <f t="shared" si="6"/>
        <v>0.0002789133037</v>
      </c>
      <c r="M1183" s="2">
        <f t="shared" si="7"/>
        <v>0.323260519</v>
      </c>
      <c r="N1183" s="2">
        <f t="shared" si="8"/>
        <v>0.04696440768</v>
      </c>
      <c r="O1183" s="2"/>
      <c r="P1183" s="2"/>
      <c r="Q1183" s="2"/>
      <c r="R1183" s="4"/>
    </row>
    <row r="1184" ht="14.25" customHeight="1">
      <c r="K1184" s="2">
        <v>0.01182</v>
      </c>
      <c r="L1184" s="2">
        <f t="shared" si="6"/>
        <v>0.0002793857718</v>
      </c>
      <c r="M1184" s="2">
        <f t="shared" si="7"/>
        <v>0.3238081095</v>
      </c>
      <c r="N1184" s="2">
        <f t="shared" si="8"/>
        <v>0.04702360334</v>
      </c>
      <c r="O1184" s="2"/>
      <c r="P1184" s="2"/>
      <c r="Q1184" s="2"/>
      <c r="R1184" s="4"/>
    </row>
    <row r="1185" ht="14.25" customHeight="1">
      <c r="K1185" s="2">
        <v>0.01183</v>
      </c>
      <c r="L1185" s="2">
        <f t="shared" si="6"/>
        <v>0.0002798586396</v>
      </c>
      <c r="M1185" s="2">
        <f t="shared" si="7"/>
        <v>0.3243561633</v>
      </c>
      <c r="N1185" s="2">
        <f t="shared" si="8"/>
        <v>0.04708284831</v>
      </c>
      <c r="O1185" s="2"/>
      <c r="P1185" s="2"/>
      <c r="Q1185" s="2"/>
      <c r="R1185" s="4"/>
    </row>
    <row r="1186" ht="14.25" customHeight="1">
      <c r="K1186" s="2">
        <v>0.01184</v>
      </c>
      <c r="L1186" s="2">
        <f t="shared" si="6"/>
        <v>0.000280331907</v>
      </c>
      <c r="M1186" s="2">
        <f t="shared" si="7"/>
        <v>0.3249046802</v>
      </c>
      <c r="N1186" s="2">
        <f t="shared" si="8"/>
        <v>0.04714214263</v>
      </c>
      <c r="O1186" s="2"/>
      <c r="P1186" s="2"/>
      <c r="Q1186" s="2"/>
      <c r="R1186" s="4"/>
    </row>
    <row r="1187" ht="14.25" customHeight="1">
      <c r="K1187" s="2">
        <v>0.01185</v>
      </c>
      <c r="L1187" s="2">
        <f t="shared" si="6"/>
        <v>0.0002808055741</v>
      </c>
      <c r="M1187" s="2">
        <f t="shared" si="7"/>
        <v>0.3254536604</v>
      </c>
      <c r="N1187" s="2">
        <f t="shared" si="8"/>
        <v>0.04720148633</v>
      </c>
      <c r="O1187" s="2"/>
      <c r="P1187" s="2"/>
      <c r="Q1187" s="2"/>
      <c r="R1187" s="4"/>
    </row>
    <row r="1188" ht="14.25" customHeight="1">
      <c r="K1188" s="2">
        <v>0.01186</v>
      </c>
      <c r="L1188" s="2">
        <f t="shared" si="6"/>
        <v>0.0002812796409</v>
      </c>
      <c r="M1188" s="2">
        <f t="shared" si="7"/>
        <v>0.3260031038</v>
      </c>
      <c r="N1188" s="2">
        <f t="shared" si="8"/>
        <v>0.04726087946</v>
      </c>
      <c r="O1188" s="2"/>
      <c r="P1188" s="2"/>
      <c r="Q1188" s="2"/>
      <c r="R1188" s="4"/>
    </row>
    <row r="1189" ht="14.25" customHeight="1">
      <c r="K1189" s="2">
        <v>0.01187</v>
      </c>
      <c r="L1189" s="2">
        <f t="shared" si="6"/>
        <v>0.0002817541073</v>
      </c>
      <c r="M1189" s="2">
        <f t="shared" si="7"/>
        <v>0.3265530104</v>
      </c>
      <c r="N1189" s="2">
        <f t="shared" si="8"/>
        <v>0.04732032207</v>
      </c>
      <c r="O1189" s="2"/>
      <c r="P1189" s="2"/>
      <c r="Q1189" s="2"/>
      <c r="R1189" s="4"/>
    </row>
    <row r="1190" ht="14.25" customHeight="1">
      <c r="K1190" s="2">
        <v>0.01188</v>
      </c>
      <c r="L1190" s="2">
        <f t="shared" si="6"/>
        <v>0.0002822289734</v>
      </c>
      <c r="M1190" s="2">
        <f t="shared" si="7"/>
        <v>0.3271033802</v>
      </c>
      <c r="N1190" s="2">
        <f t="shared" si="8"/>
        <v>0.04737981418</v>
      </c>
      <c r="O1190" s="2"/>
      <c r="P1190" s="2"/>
      <c r="Q1190" s="2"/>
      <c r="R1190" s="4"/>
    </row>
    <row r="1191" ht="14.25" customHeight="1">
      <c r="K1191" s="2">
        <v>0.01189</v>
      </c>
      <c r="L1191" s="2">
        <f t="shared" si="6"/>
        <v>0.0002827042392</v>
      </c>
      <c r="M1191" s="2">
        <f t="shared" si="7"/>
        <v>0.3276542132</v>
      </c>
      <c r="N1191" s="2">
        <f t="shared" si="8"/>
        <v>0.04743935586</v>
      </c>
      <c r="O1191" s="2"/>
      <c r="P1191" s="2"/>
      <c r="Q1191" s="2"/>
      <c r="R1191" s="4"/>
    </row>
    <row r="1192" ht="14.25" customHeight="1">
      <c r="K1192" s="2">
        <v>0.0119</v>
      </c>
      <c r="L1192" s="2">
        <f t="shared" si="6"/>
        <v>0.0002831799046</v>
      </c>
      <c r="M1192" s="2">
        <f t="shared" si="7"/>
        <v>0.3282055094</v>
      </c>
      <c r="N1192" s="2">
        <f t="shared" si="8"/>
        <v>0.04749894713</v>
      </c>
      <c r="O1192" s="2"/>
      <c r="P1192" s="2"/>
      <c r="Q1192" s="2"/>
      <c r="R1192" s="4"/>
    </row>
    <row r="1193" ht="14.25" customHeight="1">
      <c r="K1193" s="2">
        <v>0.01191</v>
      </c>
      <c r="L1193" s="2">
        <f t="shared" si="6"/>
        <v>0.0002836559696</v>
      </c>
      <c r="M1193" s="2">
        <f t="shared" si="7"/>
        <v>0.3287572688</v>
      </c>
      <c r="N1193" s="2">
        <f t="shared" si="8"/>
        <v>0.04755858804</v>
      </c>
      <c r="O1193" s="2"/>
      <c r="P1193" s="2"/>
      <c r="Q1193" s="2"/>
      <c r="R1193" s="4"/>
    </row>
    <row r="1194" ht="14.25" customHeight="1">
      <c r="K1194" s="2">
        <v>0.01192</v>
      </c>
      <c r="L1194" s="2">
        <f t="shared" si="6"/>
        <v>0.0002841324344</v>
      </c>
      <c r="M1194" s="2">
        <f t="shared" si="7"/>
        <v>0.3293094914</v>
      </c>
      <c r="N1194" s="2">
        <f t="shared" si="8"/>
        <v>0.04761827862</v>
      </c>
      <c r="O1194" s="2"/>
      <c r="P1194" s="2"/>
      <c r="Q1194" s="2"/>
      <c r="R1194" s="4"/>
    </row>
    <row r="1195" ht="14.25" customHeight="1">
      <c r="K1195" s="2">
        <v>0.01193</v>
      </c>
      <c r="L1195" s="2">
        <f t="shared" si="6"/>
        <v>0.0002846092988</v>
      </c>
      <c r="M1195" s="2">
        <f t="shared" si="7"/>
        <v>0.3298621773</v>
      </c>
      <c r="N1195" s="2">
        <f t="shared" si="8"/>
        <v>0.04767801893</v>
      </c>
      <c r="O1195" s="2"/>
      <c r="P1195" s="2"/>
      <c r="Q1195" s="2"/>
      <c r="R1195" s="4"/>
    </row>
    <row r="1196" ht="14.25" customHeight="1">
      <c r="K1196" s="2">
        <v>0.01194</v>
      </c>
      <c r="L1196" s="2">
        <f t="shared" si="6"/>
        <v>0.0002850865628</v>
      </c>
      <c r="M1196" s="2">
        <f t="shared" si="7"/>
        <v>0.3304153263</v>
      </c>
      <c r="N1196" s="2">
        <f t="shared" si="8"/>
        <v>0.04773780901</v>
      </c>
      <c r="O1196" s="2"/>
      <c r="P1196" s="2"/>
      <c r="Q1196" s="2"/>
      <c r="R1196" s="4"/>
    </row>
    <row r="1197" ht="14.25" customHeight="1">
      <c r="K1197" s="2">
        <v>0.01195</v>
      </c>
      <c r="L1197" s="2">
        <f t="shared" si="6"/>
        <v>0.0002855642265</v>
      </c>
      <c r="M1197" s="2">
        <f t="shared" si="7"/>
        <v>0.3309689386</v>
      </c>
      <c r="N1197" s="2">
        <f t="shared" si="8"/>
        <v>0.04779764888</v>
      </c>
      <c r="O1197" s="2"/>
      <c r="P1197" s="2"/>
      <c r="Q1197" s="2"/>
      <c r="R1197" s="4"/>
    </row>
    <row r="1198" ht="14.25" customHeight="1">
      <c r="K1198" s="2">
        <v>0.01196</v>
      </c>
      <c r="L1198" s="2">
        <f t="shared" si="6"/>
        <v>0.0002860422899</v>
      </c>
      <c r="M1198" s="2">
        <f t="shared" si="7"/>
        <v>0.331523014</v>
      </c>
      <c r="N1198" s="2">
        <f t="shared" si="8"/>
        <v>0.04785753861</v>
      </c>
      <c r="O1198" s="2"/>
      <c r="P1198" s="2"/>
      <c r="Q1198" s="2"/>
      <c r="R1198" s="4"/>
    </row>
    <row r="1199" ht="14.25" customHeight="1">
      <c r="K1199" s="2">
        <v>0.01197</v>
      </c>
      <c r="L1199" s="2">
        <f t="shared" si="6"/>
        <v>0.0002865207529</v>
      </c>
      <c r="M1199" s="2">
        <f t="shared" si="7"/>
        <v>0.3320775526</v>
      </c>
      <c r="N1199" s="2">
        <f t="shared" si="8"/>
        <v>0.04791747822</v>
      </c>
      <c r="O1199" s="2"/>
      <c r="P1199" s="2"/>
      <c r="Q1199" s="2"/>
      <c r="R1199" s="4"/>
    </row>
    <row r="1200" ht="14.25" customHeight="1">
      <c r="K1200" s="2">
        <v>0.01198</v>
      </c>
      <c r="L1200" s="2">
        <f t="shared" si="6"/>
        <v>0.0002869996156</v>
      </c>
      <c r="M1200" s="2">
        <f t="shared" si="7"/>
        <v>0.3326325545</v>
      </c>
      <c r="N1200" s="2">
        <f t="shared" si="8"/>
        <v>0.04797746776</v>
      </c>
      <c r="O1200" s="2"/>
      <c r="P1200" s="2"/>
      <c r="Q1200" s="2"/>
      <c r="R1200" s="4"/>
    </row>
    <row r="1201" ht="14.25" customHeight="1">
      <c r="K1201" s="2">
        <v>0.01199</v>
      </c>
      <c r="L1201" s="2">
        <f t="shared" si="6"/>
        <v>0.0002874788779</v>
      </c>
      <c r="M1201" s="2">
        <f t="shared" si="7"/>
        <v>0.3331880195</v>
      </c>
      <c r="N1201" s="2">
        <f t="shared" si="8"/>
        <v>0.04803750727</v>
      </c>
      <c r="O1201" s="2"/>
      <c r="P1201" s="2"/>
      <c r="Q1201" s="2"/>
      <c r="R1201" s="4"/>
    </row>
    <row r="1202" ht="14.25" customHeight="1">
      <c r="K1202" s="2">
        <v>0.012</v>
      </c>
      <c r="L1202" s="2">
        <f t="shared" si="6"/>
        <v>0.0002879585399</v>
      </c>
      <c r="M1202" s="2">
        <f t="shared" si="7"/>
        <v>0.3337439478</v>
      </c>
      <c r="N1202" s="2">
        <f t="shared" si="8"/>
        <v>0.0480975968</v>
      </c>
      <c r="O1202" s="2"/>
      <c r="P1202" s="2"/>
      <c r="Q1202" s="2"/>
      <c r="R1202" s="4"/>
    </row>
    <row r="1203" ht="14.25" customHeight="1">
      <c r="K1203" s="2">
        <v>0.01201</v>
      </c>
      <c r="L1203" s="2">
        <f t="shared" si="6"/>
        <v>0.0002884386016</v>
      </c>
      <c r="M1203" s="2">
        <f t="shared" si="7"/>
        <v>0.3343003392</v>
      </c>
      <c r="N1203" s="2">
        <f t="shared" si="8"/>
        <v>0.04815773638</v>
      </c>
      <c r="O1203" s="2"/>
      <c r="P1203" s="2"/>
      <c r="Q1203" s="2"/>
      <c r="R1203" s="4"/>
    </row>
    <row r="1204" ht="14.25" customHeight="1">
      <c r="K1204" s="2">
        <v>0.01202</v>
      </c>
      <c r="L1204" s="2">
        <f t="shared" si="6"/>
        <v>0.0002889190629</v>
      </c>
      <c r="M1204" s="2">
        <f t="shared" si="7"/>
        <v>0.3348571939</v>
      </c>
      <c r="N1204" s="2">
        <f t="shared" si="8"/>
        <v>0.04821792605</v>
      </c>
      <c r="O1204" s="2"/>
      <c r="P1204" s="2"/>
      <c r="Q1204" s="2"/>
      <c r="R1204" s="4"/>
    </row>
    <row r="1205" ht="14.25" customHeight="1">
      <c r="K1205" s="2">
        <v>0.01203</v>
      </c>
      <c r="L1205" s="2">
        <f t="shared" si="6"/>
        <v>0.0002893999238</v>
      </c>
      <c r="M1205" s="2">
        <f t="shared" si="7"/>
        <v>0.3354145117</v>
      </c>
      <c r="N1205" s="2">
        <f t="shared" si="8"/>
        <v>0.04827816586</v>
      </c>
      <c r="O1205" s="2"/>
      <c r="P1205" s="2"/>
      <c r="Q1205" s="2"/>
      <c r="R1205" s="4"/>
    </row>
    <row r="1206" ht="14.25" customHeight="1">
      <c r="K1206" s="2">
        <v>0.01204</v>
      </c>
      <c r="L1206" s="2">
        <f t="shared" si="6"/>
        <v>0.0002898811844</v>
      </c>
      <c r="M1206" s="2">
        <f t="shared" si="7"/>
        <v>0.3359722928</v>
      </c>
      <c r="N1206" s="2">
        <f t="shared" si="8"/>
        <v>0.04833845585</v>
      </c>
      <c r="O1206" s="2"/>
      <c r="P1206" s="2"/>
      <c r="Q1206" s="2"/>
      <c r="R1206" s="4"/>
    </row>
    <row r="1207" ht="14.25" customHeight="1">
      <c r="K1207" s="2">
        <v>0.01205</v>
      </c>
      <c r="L1207" s="2">
        <f t="shared" si="6"/>
        <v>0.0002903628447</v>
      </c>
      <c r="M1207" s="2">
        <f t="shared" si="7"/>
        <v>0.336530537</v>
      </c>
      <c r="N1207" s="2">
        <f t="shared" si="8"/>
        <v>0.04839879606</v>
      </c>
      <c r="O1207" s="2"/>
      <c r="P1207" s="2"/>
      <c r="Q1207" s="2"/>
      <c r="R1207" s="4"/>
    </row>
    <row r="1208" ht="14.25" customHeight="1">
      <c r="K1208" s="2">
        <v>0.01206</v>
      </c>
      <c r="L1208" s="2">
        <f t="shared" si="6"/>
        <v>0.0002908449046</v>
      </c>
      <c r="M1208" s="2">
        <f t="shared" si="7"/>
        <v>0.3370892445</v>
      </c>
      <c r="N1208" s="2">
        <f t="shared" si="8"/>
        <v>0.04845918654</v>
      </c>
      <c r="O1208" s="2"/>
      <c r="P1208" s="2"/>
      <c r="Q1208" s="2"/>
      <c r="R1208" s="4"/>
    </row>
    <row r="1209" ht="14.25" customHeight="1">
      <c r="K1209" s="2">
        <v>0.01207</v>
      </c>
      <c r="L1209" s="2">
        <f t="shared" si="6"/>
        <v>0.0002913273642</v>
      </c>
      <c r="M1209" s="2">
        <f t="shared" si="7"/>
        <v>0.3376484151</v>
      </c>
      <c r="N1209" s="2">
        <f t="shared" si="8"/>
        <v>0.04851962732</v>
      </c>
      <c r="O1209" s="2"/>
      <c r="P1209" s="2"/>
      <c r="Q1209" s="2"/>
      <c r="R1209" s="4"/>
    </row>
    <row r="1210" ht="14.25" customHeight="1">
      <c r="K1210" s="2">
        <v>0.01208</v>
      </c>
      <c r="L1210" s="2">
        <f t="shared" si="6"/>
        <v>0.0002918102234</v>
      </c>
      <c r="M1210" s="2">
        <f t="shared" si="7"/>
        <v>0.3382080489</v>
      </c>
      <c r="N1210" s="2">
        <f t="shared" si="8"/>
        <v>0.04858011844</v>
      </c>
      <c r="O1210" s="2"/>
      <c r="P1210" s="2"/>
      <c r="Q1210" s="2"/>
      <c r="R1210" s="4"/>
    </row>
    <row r="1211" ht="14.25" customHeight="1">
      <c r="K1211" s="2">
        <v>0.01209</v>
      </c>
      <c r="L1211" s="2">
        <f t="shared" si="6"/>
        <v>0.0002922934823</v>
      </c>
      <c r="M1211" s="2">
        <f t="shared" si="7"/>
        <v>0.3387681459</v>
      </c>
      <c r="N1211" s="2">
        <f t="shared" si="8"/>
        <v>0.04864065995</v>
      </c>
      <c r="O1211" s="2"/>
      <c r="P1211" s="2"/>
      <c r="Q1211" s="2"/>
      <c r="R1211" s="4"/>
    </row>
    <row r="1212" ht="14.25" customHeight="1">
      <c r="K1212" s="2">
        <v>0.0121</v>
      </c>
      <c r="L1212" s="2">
        <f t="shared" si="6"/>
        <v>0.0002927771408</v>
      </c>
      <c r="M1212" s="2">
        <f t="shared" si="7"/>
        <v>0.3393287062</v>
      </c>
      <c r="N1212" s="2">
        <f t="shared" si="8"/>
        <v>0.04870125189</v>
      </c>
      <c r="O1212" s="2"/>
      <c r="P1212" s="2"/>
      <c r="Q1212" s="2"/>
      <c r="R1212" s="4"/>
    </row>
    <row r="1213" ht="14.25" customHeight="1">
      <c r="K1213" s="2">
        <v>0.01211</v>
      </c>
      <c r="L1213" s="2">
        <f t="shared" si="6"/>
        <v>0.0002932611989</v>
      </c>
      <c r="M1213" s="2">
        <f t="shared" si="7"/>
        <v>0.3398897296</v>
      </c>
      <c r="N1213" s="2">
        <f t="shared" si="8"/>
        <v>0.04876189429</v>
      </c>
      <c r="O1213" s="2"/>
      <c r="P1213" s="2"/>
      <c r="Q1213" s="2"/>
      <c r="R1213" s="4"/>
    </row>
    <row r="1214" ht="14.25" customHeight="1">
      <c r="K1214" s="2">
        <v>0.01212</v>
      </c>
      <c r="L1214" s="2">
        <f t="shared" si="6"/>
        <v>0.0002937456567</v>
      </c>
      <c r="M1214" s="2">
        <f t="shared" si="7"/>
        <v>0.3404512162</v>
      </c>
      <c r="N1214" s="2">
        <f t="shared" si="8"/>
        <v>0.04882258721</v>
      </c>
      <c r="O1214" s="2"/>
      <c r="P1214" s="2"/>
      <c r="Q1214" s="2"/>
      <c r="R1214" s="4"/>
    </row>
    <row r="1215" ht="14.25" customHeight="1">
      <c r="K1215" s="2">
        <v>0.01213</v>
      </c>
      <c r="L1215" s="2">
        <f t="shared" si="6"/>
        <v>0.0002942305142</v>
      </c>
      <c r="M1215" s="2">
        <f t="shared" si="7"/>
        <v>0.341013166</v>
      </c>
      <c r="N1215" s="2">
        <f t="shared" si="8"/>
        <v>0.04888333069</v>
      </c>
      <c r="O1215" s="2"/>
      <c r="P1215" s="2"/>
      <c r="Q1215" s="2"/>
      <c r="R1215" s="4"/>
    </row>
    <row r="1216" ht="14.25" customHeight="1">
      <c r="K1216" s="2">
        <v>0.01214</v>
      </c>
      <c r="L1216" s="2">
        <f t="shared" si="6"/>
        <v>0.0002947157713</v>
      </c>
      <c r="M1216" s="2">
        <f t="shared" si="7"/>
        <v>0.3415755789</v>
      </c>
      <c r="N1216" s="2">
        <f t="shared" si="8"/>
        <v>0.04894412476</v>
      </c>
      <c r="O1216" s="2"/>
      <c r="P1216" s="2"/>
      <c r="Q1216" s="2"/>
      <c r="R1216" s="4"/>
    </row>
    <row r="1217" ht="14.25" customHeight="1">
      <c r="K1217" s="2">
        <v>0.01215</v>
      </c>
      <c r="L1217" s="2">
        <f t="shared" si="6"/>
        <v>0.0002952014281</v>
      </c>
      <c r="M1217" s="2">
        <f t="shared" si="7"/>
        <v>0.3421384551</v>
      </c>
      <c r="N1217" s="2">
        <f t="shared" si="8"/>
        <v>0.04900496946</v>
      </c>
      <c r="O1217" s="2"/>
      <c r="P1217" s="2"/>
      <c r="Q1217" s="2"/>
      <c r="R1217" s="4"/>
    </row>
    <row r="1218" ht="14.25" customHeight="1">
      <c r="K1218" s="2">
        <v>0.01216</v>
      </c>
      <c r="L1218" s="2">
        <f t="shared" si="6"/>
        <v>0.0002956874845</v>
      </c>
      <c r="M1218" s="2">
        <f t="shared" si="7"/>
        <v>0.3427017945</v>
      </c>
      <c r="N1218" s="2">
        <f t="shared" si="8"/>
        <v>0.04906586484</v>
      </c>
      <c r="O1218" s="2"/>
      <c r="P1218" s="2"/>
      <c r="Q1218" s="2"/>
      <c r="R1218" s="4"/>
    </row>
    <row r="1219" ht="14.25" customHeight="1">
      <c r="K1219" s="2">
        <v>0.01217</v>
      </c>
      <c r="L1219" s="2">
        <f t="shared" si="6"/>
        <v>0.0002961739405</v>
      </c>
      <c r="M1219" s="2">
        <f t="shared" si="7"/>
        <v>0.343265597</v>
      </c>
      <c r="N1219" s="2">
        <f t="shared" si="8"/>
        <v>0.04912681094</v>
      </c>
      <c r="O1219" s="2"/>
      <c r="P1219" s="2"/>
      <c r="Q1219" s="2"/>
      <c r="R1219" s="4"/>
    </row>
    <row r="1220" ht="14.25" customHeight="1">
      <c r="K1220" s="2">
        <v>0.01218</v>
      </c>
      <c r="L1220" s="2">
        <f t="shared" si="6"/>
        <v>0.0002966607962</v>
      </c>
      <c r="M1220" s="2">
        <f t="shared" si="7"/>
        <v>0.3438298628</v>
      </c>
      <c r="N1220" s="2">
        <f t="shared" si="8"/>
        <v>0.04918780781</v>
      </c>
      <c r="O1220" s="2"/>
      <c r="P1220" s="2"/>
      <c r="Q1220" s="2"/>
      <c r="R1220" s="4"/>
    </row>
    <row r="1221" ht="14.25" customHeight="1">
      <c r="K1221" s="2">
        <v>0.01219</v>
      </c>
      <c r="L1221" s="2">
        <f t="shared" si="6"/>
        <v>0.0002971480515</v>
      </c>
      <c r="M1221" s="2">
        <f t="shared" si="7"/>
        <v>0.3443945917</v>
      </c>
      <c r="N1221" s="2">
        <f t="shared" si="8"/>
        <v>0.04924885547</v>
      </c>
      <c r="O1221" s="2"/>
      <c r="P1221" s="2"/>
      <c r="Q1221" s="2"/>
      <c r="R1221" s="4"/>
    </row>
    <row r="1222" ht="14.25" customHeight="1">
      <c r="K1222" s="2">
        <v>0.0122</v>
      </c>
      <c r="L1222" s="2">
        <f t="shared" si="6"/>
        <v>0.0002976357065</v>
      </c>
      <c r="M1222" s="2">
        <f t="shared" si="7"/>
        <v>0.3449597838</v>
      </c>
      <c r="N1222" s="2">
        <f t="shared" si="8"/>
        <v>0.04930995398</v>
      </c>
      <c r="O1222" s="2"/>
      <c r="P1222" s="2"/>
      <c r="Q1222" s="2"/>
      <c r="R1222" s="4"/>
    </row>
    <row r="1223" ht="14.25" customHeight="1">
      <c r="K1223" s="2">
        <v>0.01221</v>
      </c>
      <c r="L1223" s="2">
        <f t="shared" si="6"/>
        <v>0.0002981237611</v>
      </c>
      <c r="M1223" s="2">
        <f t="shared" si="7"/>
        <v>0.3455254391</v>
      </c>
      <c r="N1223" s="2">
        <f t="shared" si="8"/>
        <v>0.04937110338</v>
      </c>
      <c r="O1223" s="2"/>
      <c r="P1223" s="2"/>
      <c r="Q1223" s="2"/>
      <c r="R1223" s="4"/>
    </row>
    <row r="1224" ht="14.25" customHeight="1">
      <c r="K1224" s="2">
        <v>0.01222</v>
      </c>
      <c r="L1224" s="2">
        <f t="shared" si="6"/>
        <v>0.0002986122154</v>
      </c>
      <c r="M1224" s="2">
        <f t="shared" si="7"/>
        <v>0.3460915576</v>
      </c>
      <c r="N1224" s="2">
        <f t="shared" si="8"/>
        <v>0.04943230371</v>
      </c>
      <c r="O1224" s="2"/>
      <c r="P1224" s="2"/>
      <c r="Q1224" s="2"/>
      <c r="R1224" s="4"/>
    </row>
    <row r="1225" ht="14.25" customHeight="1">
      <c r="K1225" s="2">
        <v>0.01223</v>
      </c>
      <c r="L1225" s="2">
        <f t="shared" si="6"/>
        <v>0.0002991010693</v>
      </c>
      <c r="M1225" s="2">
        <f t="shared" si="7"/>
        <v>0.3466581393</v>
      </c>
      <c r="N1225" s="2">
        <f t="shared" si="8"/>
        <v>0.049493555</v>
      </c>
      <c r="O1225" s="2"/>
      <c r="P1225" s="2"/>
      <c r="Q1225" s="2"/>
      <c r="R1225" s="4"/>
    </row>
    <row r="1226" ht="14.25" customHeight="1">
      <c r="K1226" s="2">
        <v>0.01224</v>
      </c>
      <c r="L1226" s="2">
        <f t="shared" si="6"/>
        <v>0.0002995903228</v>
      </c>
      <c r="M1226" s="2">
        <f t="shared" si="7"/>
        <v>0.3472251841</v>
      </c>
      <c r="N1226" s="2">
        <f t="shared" si="8"/>
        <v>0.0495548573</v>
      </c>
      <c r="O1226" s="2"/>
      <c r="P1226" s="2"/>
      <c r="Q1226" s="2"/>
      <c r="R1226" s="4"/>
    </row>
    <row r="1227" ht="14.25" customHeight="1">
      <c r="K1227" s="2">
        <v>0.01225</v>
      </c>
      <c r="L1227" s="2">
        <f t="shared" si="6"/>
        <v>0.000300079976</v>
      </c>
      <c r="M1227" s="2">
        <f t="shared" si="7"/>
        <v>0.3477926922</v>
      </c>
      <c r="N1227" s="2">
        <f t="shared" si="8"/>
        <v>0.04961621066</v>
      </c>
      <c r="O1227" s="2"/>
      <c r="P1227" s="2"/>
      <c r="Q1227" s="2"/>
      <c r="R1227" s="4"/>
    </row>
    <row r="1228" ht="14.25" customHeight="1">
      <c r="K1228" s="2">
        <v>0.01226</v>
      </c>
      <c r="L1228" s="2">
        <f t="shared" si="6"/>
        <v>0.0003005700288</v>
      </c>
      <c r="M1228" s="2">
        <f t="shared" si="7"/>
        <v>0.3483606634</v>
      </c>
      <c r="N1228" s="2">
        <f t="shared" si="8"/>
        <v>0.04967761511</v>
      </c>
      <c r="O1228" s="2"/>
      <c r="P1228" s="2"/>
      <c r="Q1228" s="2"/>
      <c r="R1228" s="4"/>
    </row>
    <row r="1229" ht="14.25" customHeight="1">
      <c r="K1229" s="2">
        <v>0.01227</v>
      </c>
      <c r="L1229" s="2">
        <f t="shared" si="6"/>
        <v>0.0003010604813</v>
      </c>
      <c r="M1229" s="2">
        <f t="shared" si="7"/>
        <v>0.3489290978</v>
      </c>
      <c r="N1229" s="2">
        <f t="shared" si="8"/>
        <v>0.0497390707</v>
      </c>
      <c r="O1229" s="2"/>
      <c r="P1229" s="4"/>
      <c r="Q1229" s="4"/>
      <c r="R1229" s="4"/>
    </row>
    <row r="1230" ht="14.25" customHeight="1">
      <c r="K1230" s="2">
        <v>0.01228</v>
      </c>
      <c r="L1230" s="2">
        <f t="shared" si="6"/>
        <v>0.0003015513334</v>
      </c>
      <c r="M1230" s="2">
        <f t="shared" si="7"/>
        <v>0.3494979954</v>
      </c>
      <c r="N1230" s="2">
        <f t="shared" si="8"/>
        <v>0.04980057746</v>
      </c>
      <c r="O1230" s="2"/>
      <c r="P1230" s="4"/>
      <c r="Q1230" s="4"/>
      <c r="R1230" s="4"/>
    </row>
    <row r="1231" ht="14.25" customHeight="1">
      <c r="K1231" s="2">
        <v>0.01229</v>
      </c>
      <c r="L1231" s="2">
        <f t="shared" si="6"/>
        <v>0.0003020425851</v>
      </c>
      <c r="M1231" s="2">
        <f t="shared" si="7"/>
        <v>0.3500673562</v>
      </c>
      <c r="N1231" s="2">
        <f t="shared" si="8"/>
        <v>0.04986213544</v>
      </c>
      <c r="O1231" s="2"/>
      <c r="P1231" s="4"/>
      <c r="Q1231" s="4"/>
      <c r="R1231" s="4"/>
    </row>
    <row r="1232" ht="14.25" customHeight="1">
      <c r="K1232" s="2">
        <v>0.0123</v>
      </c>
      <c r="L1232" s="2">
        <f t="shared" si="6"/>
        <v>0.0003025342365</v>
      </c>
      <c r="M1232" s="2">
        <f t="shared" si="7"/>
        <v>0.3506371801</v>
      </c>
      <c r="N1232" s="2">
        <f t="shared" si="8"/>
        <v>0.04992374468</v>
      </c>
      <c r="O1232" s="2"/>
      <c r="P1232" s="4"/>
      <c r="Q1232" s="4"/>
      <c r="R1232" s="4"/>
    </row>
    <row r="1233" ht="14.25" customHeight="1">
      <c r="K1233" s="2">
        <v>0.01231</v>
      </c>
      <c r="L1233" s="2">
        <f t="shared" si="6"/>
        <v>0.0003030262875</v>
      </c>
      <c r="M1233" s="2">
        <f t="shared" si="7"/>
        <v>0.3512074673</v>
      </c>
      <c r="N1233" s="2">
        <f t="shared" si="8"/>
        <v>0.04998540523</v>
      </c>
      <c r="O1233" s="2"/>
      <c r="P1233" s="4"/>
      <c r="Q1233" s="4"/>
      <c r="R1233" s="4"/>
    </row>
    <row r="1234" ht="14.25" customHeight="1">
      <c r="K1234" s="2">
        <v>0.01232</v>
      </c>
      <c r="L1234" s="2">
        <f t="shared" si="6"/>
        <v>0.0003035187382</v>
      </c>
      <c r="M1234" s="2">
        <f t="shared" si="7"/>
        <v>0.3517782176</v>
      </c>
      <c r="N1234" s="2">
        <f t="shared" si="8"/>
        <v>0.05004711711</v>
      </c>
      <c r="O1234" s="2"/>
      <c r="P1234" s="4"/>
      <c r="Q1234" s="4"/>
      <c r="R1234" s="4"/>
    </row>
    <row r="1235" ht="14.25" customHeight="1">
      <c r="K1235" s="2">
        <v>0.01233</v>
      </c>
      <c r="L1235" s="2">
        <f t="shared" si="6"/>
        <v>0.0003040115885</v>
      </c>
      <c r="M1235" s="2">
        <f t="shared" si="7"/>
        <v>0.352349431</v>
      </c>
      <c r="N1235" s="2">
        <f t="shared" si="8"/>
        <v>0.05010888038</v>
      </c>
      <c r="O1235" s="2"/>
      <c r="P1235" s="4"/>
      <c r="Q1235" s="4"/>
      <c r="R1235" s="4"/>
    </row>
    <row r="1236" ht="14.25" customHeight="1">
      <c r="K1236" s="2">
        <v>0.01234</v>
      </c>
      <c r="L1236" s="2">
        <f t="shared" si="6"/>
        <v>0.0003045048384</v>
      </c>
      <c r="M1236" s="2">
        <f t="shared" si="7"/>
        <v>0.3529211077</v>
      </c>
      <c r="N1236" s="2">
        <f t="shared" si="8"/>
        <v>0.05017069508</v>
      </c>
      <c r="O1236" s="2"/>
      <c r="P1236" s="4"/>
      <c r="Q1236" s="4"/>
      <c r="R1236" s="4"/>
    </row>
    <row r="1237" ht="14.25" customHeight="1">
      <c r="K1237" s="2">
        <v>0.01235</v>
      </c>
      <c r="L1237" s="2">
        <f t="shared" si="6"/>
        <v>0.000304998488</v>
      </c>
      <c r="M1237" s="2">
        <f t="shared" si="7"/>
        <v>0.3534932475</v>
      </c>
      <c r="N1237" s="2">
        <f t="shared" si="8"/>
        <v>0.05023256125</v>
      </c>
      <c r="O1237" s="2"/>
      <c r="P1237" s="4"/>
      <c r="Q1237" s="4"/>
      <c r="R1237" s="4"/>
    </row>
    <row r="1238" ht="14.25" customHeight="1">
      <c r="K1238" s="2">
        <v>0.01236</v>
      </c>
      <c r="L1238" s="2">
        <f t="shared" si="6"/>
        <v>0.0003054925372</v>
      </c>
      <c r="M1238" s="2">
        <f t="shared" si="7"/>
        <v>0.3540658506</v>
      </c>
      <c r="N1238" s="2">
        <f t="shared" si="8"/>
        <v>0.05029447893</v>
      </c>
      <c r="O1238" s="2"/>
      <c r="P1238" s="4"/>
      <c r="Q1238" s="4"/>
      <c r="R1238" s="4"/>
    </row>
    <row r="1239" ht="14.25" customHeight="1">
      <c r="K1239" s="2">
        <v>0.01237</v>
      </c>
      <c r="L1239" s="2">
        <f t="shared" si="6"/>
        <v>0.000305986986</v>
      </c>
      <c r="M1239" s="2">
        <f t="shared" si="7"/>
        <v>0.3546389168</v>
      </c>
      <c r="N1239" s="2">
        <f t="shared" si="8"/>
        <v>0.05035644815</v>
      </c>
      <c r="O1239" s="2"/>
      <c r="P1239" s="4"/>
      <c r="Q1239" s="4"/>
      <c r="R1239" s="4"/>
    </row>
    <row r="1240" ht="14.25" customHeight="1">
      <c r="K1240" s="2">
        <v>0.01238</v>
      </c>
      <c r="L1240" s="2">
        <f t="shared" si="6"/>
        <v>0.0003064818344</v>
      </c>
      <c r="M1240" s="2">
        <f t="shared" si="7"/>
        <v>0.3552124461</v>
      </c>
      <c r="N1240" s="2">
        <f t="shared" si="8"/>
        <v>0.05041846897</v>
      </c>
      <c r="O1240" s="2"/>
      <c r="P1240" s="4"/>
      <c r="Q1240" s="4"/>
      <c r="R1240" s="4"/>
    </row>
    <row r="1241" ht="14.25" customHeight="1">
      <c r="K1241" s="2">
        <v>0.01239</v>
      </c>
      <c r="L1241" s="2">
        <f t="shared" si="6"/>
        <v>0.0003069770825</v>
      </c>
      <c r="M1241" s="2">
        <f t="shared" si="7"/>
        <v>0.3557864387</v>
      </c>
      <c r="N1241" s="2">
        <f t="shared" si="8"/>
        <v>0.05048054143</v>
      </c>
      <c r="O1241" s="2"/>
      <c r="P1241" s="4"/>
      <c r="Q1241" s="4"/>
      <c r="R1241" s="4"/>
    </row>
    <row r="1242" ht="14.25" customHeight="1">
      <c r="K1242" s="2">
        <v>0.0124</v>
      </c>
      <c r="L1242" s="2">
        <f t="shared" si="6"/>
        <v>0.0003074727303</v>
      </c>
      <c r="M1242" s="2">
        <f t="shared" si="7"/>
        <v>0.3563608944</v>
      </c>
      <c r="N1242" s="2">
        <f t="shared" si="8"/>
        <v>0.05054266556</v>
      </c>
      <c r="O1242" s="2"/>
      <c r="P1242" s="4"/>
      <c r="Q1242" s="4"/>
      <c r="R1242" s="4"/>
    </row>
    <row r="1243" ht="14.25" customHeight="1">
      <c r="K1243" s="2">
        <v>0.01241</v>
      </c>
      <c r="L1243" s="2">
        <f t="shared" si="6"/>
        <v>0.0003079687776</v>
      </c>
      <c r="M1243" s="2">
        <f t="shared" si="7"/>
        <v>0.3569358133</v>
      </c>
      <c r="N1243" s="2">
        <f t="shared" si="8"/>
        <v>0.05060484141</v>
      </c>
      <c r="O1243" s="2"/>
      <c r="P1243" s="4"/>
      <c r="Q1243" s="4"/>
      <c r="R1243" s="4"/>
    </row>
    <row r="1244" ht="14.25" customHeight="1">
      <c r="K1244" s="2">
        <v>0.01242</v>
      </c>
      <c r="L1244" s="2">
        <f t="shared" si="6"/>
        <v>0.0003084652246</v>
      </c>
      <c r="M1244" s="2">
        <f t="shared" si="7"/>
        <v>0.3575111953</v>
      </c>
      <c r="N1244" s="2">
        <f t="shared" si="8"/>
        <v>0.05066706902</v>
      </c>
      <c r="O1244" s="2"/>
      <c r="P1244" s="4"/>
      <c r="Q1244" s="4"/>
      <c r="R1244" s="4"/>
    </row>
    <row r="1245" ht="14.25" customHeight="1">
      <c r="K1245" s="2">
        <v>0.01243</v>
      </c>
      <c r="L1245" s="2">
        <f t="shared" si="6"/>
        <v>0.0003089620712</v>
      </c>
      <c r="M1245" s="2">
        <f t="shared" si="7"/>
        <v>0.3580870405</v>
      </c>
      <c r="N1245" s="2">
        <f t="shared" si="8"/>
        <v>0.05072934843</v>
      </c>
      <c r="O1245" s="2"/>
      <c r="P1245" s="4"/>
      <c r="Q1245" s="4"/>
      <c r="R1245" s="4"/>
    </row>
    <row r="1246" ht="14.25" customHeight="1">
      <c r="K1246" s="2">
        <v>0.01244</v>
      </c>
      <c r="L1246" s="2">
        <f t="shared" si="6"/>
        <v>0.0003094593175</v>
      </c>
      <c r="M1246" s="2">
        <f t="shared" si="7"/>
        <v>0.3586633489</v>
      </c>
      <c r="N1246" s="2">
        <f t="shared" si="8"/>
        <v>0.05079167968</v>
      </c>
      <c r="O1246" s="2"/>
      <c r="P1246" s="4"/>
      <c r="Q1246" s="4"/>
      <c r="R1246" s="4"/>
    </row>
    <row r="1247" ht="14.25" customHeight="1">
      <c r="K1247" s="2">
        <v>0.01245</v>
      </c>
      <c r="L1247" s="2">
        <f t="shared" si="6"/>
        <v>0.0003099569633</v>
      </c>
      <c r="M1247" s="2">
        <f t="shared" si="7"/>
        <v>0.3592401205</v>
      </c>
      <c r="N1247" s="2">
        <f t="shared" si="8"/>
        <v>0.05085406281</v>
      </c>
      <c r="O1247" s="2"/>
      <c r="P1247" s="4"/>
      <c r="Q1247" s="4"/>
      <c r="R1247" s="4"/>
    </row>
    <row r="1248" ht="14.25" customHeight="1">
      <c r="K1248" s="2">
        <v>0.01246</v>
      </c>
      <c r="L1248" s="2">
        <f t="shared" si="6"/>
        <v>0.0003104550088</v>
      </c>
      <c r="M1248" s="2">
        <f t="shared" si="7"/>
        <v>0.3598173552</v>
      </c>
      <c r="N1248" s="2">
        <f t="shared" si="8"/>
        <v>0.05091649787</v>
      </c>
      <c r="O1248" s="2"/>
      <c r="P1248" s="4"/>
      <c r="Q1248" s="4"/>
      <c r="R1248" s="4"/>
    </row>
    <row r="1249" ht="14.25" customHeight="1">
      <c r="K1249" s="2">
        <v>0.01247</v>
      </c>
      <c r="L1249" s="2">
        <f t="shared" si="6"/>
        <v>0.000310953454</v>
      </c>
      <c r="M1249" s="2">
        <f t="shared" si="7"/>
        <v>0.3603950532</v>
      </c>
      <c r="N1249" s="2">
        <f t="shared" si="8"/>
        <v>0.0509789849</v>
      </c>
      <c r="O1249" s="2"/>
      <c r="P1249" s="4"/>
      <c r="Q1249" s="4"/>
      <c r="R1249" s="4"/>
    </row>
    <row r="1250" ht="14.25" customHeight="1">
      <c r="K1250" s="2">
        <v>0.01248</v>
      </c>
      <c r="L1250" s="2">
        <f t="shared" si="6"/>
        <v>0.0003114522987</v>
      </c>
      <c r="M1250" s="2">
        <f t="shared" si="7"/>
        <v>0.3609732142</v>
      </c>
      <c r="N1250" s="2">
        <f t="shared" si="8"/>
        <v>0.05104152394</v>
      </c>
      <c r="O1250" s="2"/>
      <c r="P1250" s="4"/>
      <c r="Q1250" s="4"/>
      <c r="R1250" s="4"/>
    </row>
    <row r="1251" ht="14.25" customHeight="1">
      <c r="K1251" s="2">
        <v>0.01249</v>
      </c>
      <c r="L1251" s="2">
        <f t="shared" si="6"/>
        <v>0.0003119515431</v>
      </c>
      <c r="M1251" s="2">
        <f t="shared" si="7"/>
        <v>0.3615518385</v>
      </c>
      <c r="N1251" s="2">
        <f t="shared" si="8"/>
        <v>0.05110411502</v>
      </c>
      <c r="O1251" s="2"/>
      <c r="P1251" s="4"/>
      <c r="Q1251" s="4"/>
      <c r="R1251" s="4"/>
    </row>
    <row r="1252" ht="14.25" customHeight="1">
      <c r="K1252" s="2">
        <v>0.0125</v>
      </c>
      <c r="L1252" s="2">
        <f t="shared" si="6"/>
        <v>0.0003124511871</v>
      </c>
      <c r="M1252" s="2">
        <f t="shared" si="7"/>
        <v>0.3621309259</v>
      </c>
      <c r="N1252" s="2">
        <f t="shared" si="8"/>
        <v>0.0511667582</v>
      </c>
      <c r="O1252" s="2"/>
      <c r="P1252" s="4"/>
      <c r="Q1252" s="4"/>
      <c r="R1252" s="4"/>
    </row>
    <row r="1253" ht="14.25" customHeight="1">
      <c r="K1253" s="2">
        <v>0.01251</v>
      </c>
      <c r="L1253" s="2">
        <f t="shared" si="6"/>
        <v>0.0003129512308</v>
      </c>
      <c r="M1253" s="2">
        <f t="shared" si="7"/>
        <v>0.3627104765</v>
      </c>
      <c r="N1253" s="2">
        <f t="shared" si="8"/>
        <v>0.05122945351</v>
      </c>
      <c r="O1253" s="2"/>
      <c r="P1253" s="4"/>
      <c r="Q1253" s="4"/>
      <c r="R1253" s="4"/>
    </row>
    <row r="1254" ht="14.25" customHeight="1">
      <c r="K1254" s="2">
        <v>0.01252</v>
      </c>
      <c r="L1254" s="2">
        <f t="shared" si="6"/>
        <v>0.000313451674</v>
      </c>
      <c r="M1254" s="2">
        <f t="shared" si="7"/>
        <v>0.3632904902</v>
      </c>
      <c r="N1254" s="2">
        <f t="shared" si="8"/>
        <v>0.051292201</v>
      </c>
      <c r="O1254" s="2"/>
      <c r="P1254" s="4"/>
      <c r="Q1254" s="4"/>
      <c r="R1254" s="4"/>
    </row>
    <row r="1255" ht="14.25" customHeight="1">
      <c r="K1255" s="2">
        <v>0.01253</v>
      </c>
      <c r="L1255" s="2">
        <f t="shared" si="6"/>
        <v>0.0003139525169</v>
      </c>
      <c r="M1255" s="2">
        <f t="shared" si="7"/>
        <v>0.3638709671</v>
      </c>
      <c r="N1255" s="2">
        <f t="shared" si="8"/>
        <v>0.0513550007</v>
      </c>
      <c r="O1255" s="2"/>
      <c r="P1255" s="4"/>
      <c r="Q1255" s="4"/>
      <c r="R1255" s="4"/>
    </row>
    <row r="1256" ht="14.25" customHeight="1">
      <c r="K1256" s="2">
        <v>0.01254</v>
      </c>
      <c r="L1256" s="2">
        <f t="shared" si="6"/>
        <v>0.0003144537594</v>
      </c>
      <c r="M1256" s="2">
        <f t="shared" si="7"/>
        <v>0.3644519072</v>
      </c>
      <c r="N1256" s="2">
        <f t="shared" si="8"/>
        <v>0.05141785267</v>
      </c>
      <c r="O1256" s="2"/>
      <c r="P1256" s="4"/>
      <c r="Q1256" s="4"/>
      <c r="R1256" s="4"/>
    </row>
    <row r="1257" ht="14.25" customHeight="1">
      <c r="K1257" s="2">
        <v>0.01255</v>
      </c>
      <c r="L1257" s="2">
        <f t="shared" si="6"/>
        <v>0.0003149554015</v>
      </c>
      <c r="M1257" s="2">
        <f t="shared" si="7"/>
        <v>0.3650333104</v>
      </c>
      <c r="N1257" s="2">
        <f t="shared" si="8"/>
        <v>0.05148075693</v>
      </c>
      <c r="O1257" s="2"/>
      <c r="P1257" s="4"/>
      <c r="Q1257" s="4"/>
      <c r="R1257" s="4"/>
    </row>
    <row r="1258" ht="14.25" customHeight="1">
      <c r="K1258" s="2">
        <v>0.01256</v>
      </c>
      <c r="L1258" s="2">
        <f t="shared" si="6"/>
        <v>0.0003154574433</v>
      </c>
      <c r="M1258" s="2">
        <f t="shared" si="7"/>
        <v>0.3656151768</v>
      </c>
      <c r="N1258" s="2">
        <f t="shared" si="8"/>
        <v>0.05154371353</v>
      </c>
      <c r="O1258" s="2"/>
      <c r="P1258" s="4"/>
      <c r="Q1258" s="4"/>
      <c r="R1258" s="4"/>
    </row>
    <row r="1259" ht="14.25" customHeight="1">
      <c r="K1259" s="2">
        <v>0.01257</v>
      </c>
      <c r="L1259" s="2">
        <f t="shared" si="6"/>
        <v>0.0003159598847</v>
      </c>
      <c r="M1259" s="2">
        <f t="shared" si="7"/>
        <v>0.3661975063</v>
      </c>
      <c r="N1259" s="2">
        <f t="shared" si="8"/>
        <v>0.05160672252</v>
      </c>
      <c r="O1259" s="2"/>
      <c r="P1259" s="4"/>
      <c r="Q1259" s="4"/>
      <c r="R1259" s="4"/>
    </row>
    <row r="1260" ht="14.25" customHeight="1">
      <c r="K1260" s="2">
        <v>0.01258</v>
      </c>
      <c r="L1260" s="2">
        <f t="shared" si="6"/>
        <v>0.0003164627257</v>
      </c>
      <c r="M1260" s="2">
        <f t="shared" si="7"/>
        <v>0.3667802991</v>
      </c>
      <c r="N1260" s="2">
        <f t="shared" si="8"/>
        <v>0.05166978393</v>
      </c>
      <c r="O1260" s="2"/>
      <c r="P1260" s="4"/>
      <c r="Q1260" s="4"/>
      <c r="R1260" s="4"/>
    </row>
    <row r="1261" ht="14.25" customHeight="1">
      <c r="K1261" s="2">
        <v>0.01259</v>
      </c>
      <c r="L1261" s="2">
        <f t="shared" si="6"/>
        <v>0.0003169659663</v>
      </c>
      <c r="M1261" s="2">
        <f t="shared" si="7"/>
        <v>0.3673635549</v>
      </c>
      <c r="N1261" s="2">
        <f t="shared" si="8"/>
        <v>0.0517328978</v>
      </c>
      <c r="O1261" s="2"/>
      <c r="P1261" s="4"/>
      <c r="Q1261" s="4"/>
      <c r="R1261" s="4"/>
    </row>
    <row r="1262" ht="14.25" customHeight="1">
      <c r="K1262" s="2">
        <v>0.0126</v>
      </c>
      <c r="L1262" s="2">
        <f t="shared" si="6"/>
        <v>0.0003174696065</v>
      </c>
      <c r="M1262" s="2">
        <f t="shared" si="7"/>
        <v>0.367947274</v>
      </c>
      <c r="N1262" s="2">
        <f t="shared" si="8"/>
        <v>0.05179606419</v>
      </c>
      <c r="O1262" s="2"/>
      <c r="P1262" s="4"/>
      <c r="Q1262" s="4"/>
      <c r="R1262" s="4"/>
    </row>
    <row r="1263" ht="14.25" customHeight="1">
      <c r="K1263" s="2">
        <v>0.01261</v>
      </c>
      <c r="L1263" s="2">
        <f t="shared" si="6"/>
        <v>0.0003179736464</v>
      </c>
      <c r="M1263" s="2">
        <f t="shared" si="7"/>
        <v>0.3685314562</v>
      </c>
      <c r="N1263" s="2">
        <f t="shared" si="8"/>
        <v>0.05185928312</v>
      </c>
      <c r="O1263" s="2"/>
      <c r="P1263" s="4"/>
      <c r="Q1263" s="4"/>
      <c r="R1263" s="4"/>
    </row>
    <row r="1264" ht="14.25" customHeight="1">
      <c r="K1264" s="2">
        <v>0.01262</v>
      </c>
      <c r="L1264" s="2">
        <f t="shared" si="6"/>
        <v>0.0003184780859</v>
      </c>
      <c r="M1264" s="2">
        <f t="shared" si="7"/>
        <v>0.3691161015</v>
      </c>
      <c r="N1264" s="2">
        <f t="shared" si="8"/>
        <v>0.05192255464</v>
      </c>
      <c r="O1264" s="2"/>
      <c r="P1264" s="4"/>
      <c r="Q1264" s="4"/>
      <c r="R1264" s="4"/>
    </row>
    <row r="1265" ht="14.25" customHeight="1">
      <c r="K1265" s="2">
        <v>0.01263</v>
      </c>
      <c r="L1265" s="2">
        <f t="shared" si="6"/>
        <v>0.0003189829249</v>
      </c>
      <c r="M1265" s="2">
        <f t="shared" si="7"/>
        <v>0.36970121</v>
      </c>
      <c r="N1265" s="2">
        <f t="shared" si="8"/>
        <v>0.0519858788</v>
      </c>
      <c r="O1265" s="2"/>
      <c r="P1265" s="4"/>
      <c r="Q1265" s="4"/>
      <c r="R1265" s="4"/>
    </row>
    <row r="1266" ht="14.25" customHeight="1">
      <c r="K1266" s="2">
        <v>0.01264</v>
      </c>
      <c r="L1266" s="2">
        <f t="shared" si="6"/>
        <v>0.0003194881637</v>
      </c>
      <c r="M1266" s="2">
        <f t="shared" si="7"/>
        <v>0.3702867817</v>
      </c>
      <c r="N1266" s="2">
        <f t="shared" si="8"/>
        <v>0.05204925563</v>
      </c>
      <c r="O1266" s="2"/>
      <c r="P1266" s="4"/>
      <c r="Q1266" s="4"/>
      <c r="R1266" s="4"/>
    </row>
    <row r="1267" ht="14.25" customHeight="1">
      <c r="K1267" s="2">
        <v>0.01265</v>
      </c>
      <c r="L1267" s="2">
        <f t="shared" si="6"/>
        <v>0.000319993802</v>
      </c>
      <c r="M1267" s="2">
        <f t="shared" si="7"/>
        <v>0.3708728165</v>
      </c>
      <c r="N1267" s="2">
        <f t="shared" si="8"/>
        <v>0.05211268517</v>
      </c>
      <c r="O1267" s="2"/>
      <c r="P1267" s="4"/>
      <c r="Q1267" s="4"/>
      <c r="R1267" s="4"/>
    </row>
    <row r="1268" ht="14.25" customHeight="1">
      <c r="K1268" s="2">
        <v>0.01266</v>
      </c>
      <c r="L1268" s="2">
        <f t="shared" si="6"/>
        <v>0.0003204998399</v>
      </c>
      <c r="M1268" s="2">
        <f t="shared" si="7"/>
        <v>0.3714593145</v>
      </c>
      <c r="N1268" s="2">
        <f t="shared" si="8"/>
        <v>0.05217616747</v>
      </c>
      <c r="O1268" s="2"/>
      <c r="P1268" s="4"/>
      <c r="Q1268" s="4"/>
      <c r="R1268" s="4"/>
    </row>
    <row r="1269" ht="14.25" customHeight="1">
      <c r="K1269" s="2">
        <v>0.01267</v>
      </c>
      <c r="L1269" s="2">
        <f t="shared" si="6"/>
        <v>0.0003210062775</v>
      </c>
      <c r="M1269" s="2">
        <f t="shared" si="7"/>
        <v>0.3720462756</v>
      </c>
      <c r="N1269" s="2">
        <f t="shared" si="8"/>
        <v>0.05223970257</v>
      </c>
      <c r="O1269" s="2"/>
      <c r="P1269" s="4"/>
      <c r="Q1269" s="4"/>
      <c r="R1269" s="4"/>
    </row>
    <row r="1270" ht="14.25" customHeight="1">
      <c r="K1270" s="2">
        <v>0.01268</v>
      </c>
      <c r="L1270" s="2">
        <f t="shared" si="6"/>
        <v>0.0003215131147</v>
      </c>
      <c r="M1270" s="2">
        <f t="shared" si="7"/>
        <v>0.3726336999</v>
      </c>
      <c r="N1270" s="2">
        <f t="shared" si="8"/>
        <v>0.05230329052</v>
      </c>
      <c r="O1270" s="2"/>
      <c r="P1270" s="4"/>
      <c r="Q1270" s="4"/>
      <c r="R1270" s="4"/>
    </row>
    <row r="1271" ht="14.25" customHeight="1">
      <c r="K1271" s="2">
        <v>0.01269</v>
      </c>
      <c r="L1271" s="2">
        <f t="shared" si="6"/>
        <v>0.0003220203514</v>
      </c>
      <c r="M1271" s="2">
        <f t="shared" si="7"/>
        <v>0.3732215873</v>
      </c>
      <c r="N1271" s="2">
        <f t="shared" si="8"/>
        <v>0.05236693134</v>
      </c>
      <c r="O1271" s="2"/>
      <c r="P1271" s="4"/>
      <c r="Q1271" s="4"/>
      <c r="R1271" s="4"/>
    </row>
    <row r="1272" ht="14.25" customHeight="1">
      <c r="K1272" s="2">
        <v>0.0127</v>
      </c>
      <c r="L1272" s="2">
        <f t="shared" si="6"/>
        <v>0.0003225279878</v>
      </c>
      <c r="M1272" s="2">
        <f t="shared" si="7"/>
        <v>0.3738099379</v>
      </c>
      <c r="N1272" s="2">
        <f t="shared" si="8"/>
        <v>0.05243062508</v>
      </c>
      <c r="O1272" s="2"/>
      <c r="P1272" s="4"/>
      <c r="Q1272" s="4"/>
      <c r="R1272" s="4"/>
    </row>
    <row r="1273" ht="14.25" customHeight="1">
      <c r="K1273" s="2">
        <v>0.01271</v>
      </c>
      <c r="L1273" s="2">
        <f t="shared" si="6"/>
        <v>0.0003230360239</v>
      </c>
      <c r="M1273" s="2">
        <f t="shared" si="7"/>
        <v>0.3743987517</v>
      </c>
      <c r="N1273" s="2">
        <f t="shared" si="8"/>
        <v>0.05249437179</v>
      </c>
      <c r="O1273" s="2"/>
      <c r="P1273" s="4"/>
      <c r="Q1273" s="4"/>
      <c r="R1273" s="4"/>
    </row>
    <row r="1274" ht="14.25" customHeight="1">
      <c r="K1274" s="2">
        <v>0.01272</v>
      </c>
      <c r="L1274" s="2">
        <f t="shared" si="6"/>
        <v>0.0003235444595</v>
      </c>
      <c r="M1274" s="2">
        <f t="shared" si="7"/>
        <v>0.3749880286</v>
      </c>
      <c r="N1274" s="2">
        <f t="shared" si="8"/>
        <v>0.05255817151</v>
      </c>
      <c r="O1274" s="2"/>
      <c r="P1274" s="4"/>
      <c r="Q1274" s="4"/>
      <c r="R1274" s="4"/>
    </row>
    <row r="1275" ht="14.25" customHeight="1">
      <c r="K1275" s="2">
        <v>0.01273</v>
      </c>
      <c r="L1275" s="2">
        <f t="shared" si="6"/>
        <v>0.0003240532947</v>
      </c>
      <c r="M1275" s="2">
        <f t="shared" si="7"/>
        <v>0.3755777686</v>
      </c>
      <c r="N1275" s="2">
        <f t="shared" si="8"/>
        <v>0.05262202428</v>
      </c>
      <c r="O1275" s="2"/>
      <c r="P1275" s="4"/>
      <c r="Q1275" s="4"/>
      <c r="R1275" s="4"/>
    </row>
    <row r="1276" ht="14.25" customHeight="1">
      <c r="K1276" s="2">
        <v>0.01274</v>
      </c>
      <c r="L1276" s="2">
        <f t="shared" si="6"/>
        <v>0.0003245625296</v>
      </c>
      <c r="M1276" s="2">
        <f t="shared" si="7"/>
        <v>0.3761679718</v>
      </c>
      <c r="N1276" s="2">
        <f t="shared" si="8"/>
        <v>0.05268593013</v>
      </c>
      <c r="O1276" s="2"/>
      <c r="P1276" s="4"/>
      <c r="Q1276" s="4"/>
      <c r="R1276" s="4"/>
    </row>
    <row r="1277" ht="14.25" customHeight="1">
      <c r="K1277" s="2">
        <v>0.01275</v>
      </c>
      <c r="L1277" s="2">
        <f t="shared" si="6"/>
        <v>0.000325072164</v>
      </c>
      <c r="M1277" s="2">
        <f t="shared" si="7"/>
        <v>0.3767586381</v>
      </c>
      <c r="N1277" s="2">
        <f t="shared" si="8"/>
        <v>0.05274988912</v>
      </c>
      <c r="O1277" s="2"/>
      <c r="P1277" s="4"/>
      <c r="Q1277" s="4"/>
      <c r="R1277" s="4"/>
    </row>
    <row r="1278" ht="14.25" customHeight="1">
      <c r="K1278" s="2">
        <v>0.01276</v>
      </c>
      <c r="L1278" s="2">
        <f t="shared" si="6"/>
        <v>0.0003255821981</v>
      </c>
      <c r="M1278" s="2">
        <f t="shared" si="7"/>
        <v>0.3773497676</v>
      </c>
      <c r="N1278" s="2">
        <f t="shared" si="8"/>
        <v>0.05281390128</v>
      </c>
      <c r="O1278" s="2"/>
      <c r="P1278" s="4"/>
      <c r="Q1278" s="4"/>
      <c r="R1278" s="4"/>
    </row>
    <row r="1279" ht="14.25" customHeight="1">
      <c r="K1279" s="2">
        <v>0.01277</v>
      </c>
      <c r="L1279" s="2">
        <f t="shared" si="6"/>
        <v>0.0003260926318</v>
      </c>
      <c r="M1279" s="2">
        <f t="shared" si="7"/>
        <v>0.3779413603</v>
      </c>
      <c r="N1279" s="2">
        <f t="shared" si="8"/>
        <v>0.05287796665</v>
      </c>
      <c r="O1279" s="2"/>
      <c r="P1279" s="4"/>
      <c r="Q1279" s="4"/>
      <c r="R1279" s="4"/>
    </row>
    <row r="1280" ht="14.25" customHeight="1">
      <c r="K1280" s="2">
        <v>0.01278</v>
      </c>
      <c r="L1280" s="2">
        <f t="shared" si="6"/>
        <v>0.0003266034651</v>
      </c>
      <c r="M1280" s="2">
        <f t="shared" si="7"/>
        <v>0.378533416</v>
      </c>
      <c r="N1280" s="2">
        <f t="shared" si="8"/>
        <v>0.05294208528</v>
      </c>
      <c r="O1280" s="2"/>
      <c r="P1280" s="4"/>
      <c r="Q1280" s="4"/>
      <c r="R1280" s="4"/>
    </row>
    <row r="1281" ht="14.25" customHeight="1">
      <c r="K1281" s="2">
        <v>0.01279</v>
      </c>
      <c r="L1281" s="2">
        <f t="shared" si="6"/>
        <v>0.000327114698</v>
      </c>
      <c r="M1281" s="2">
        <f t="shared" si="7"/>
        <v>0.379125935</v>
      </c>
      <c r="N1281" s="2">
        <f t="shared" si="8"/>
        <v>0.05300625721</v>
      </c>
      <c r="O1281" s="2"/>
      <c r="P1281" s="4"/>
      <c r="Q1281" s="4"/>
      <c r="R1281" s="4"/>
    </row>
    <row r="1282" ht="14.25" customHeight="1">
      <c r="K1282" s="2">
        <v>0.0128</v>
      </c>
      <c r="L1282" s="2">
        <f t="shared" si="6"/>
        <v>0.0003276263305</v>
      </c>
      <c r="M1282" s="2">
        <f t="shared" si="7"/>
        <v>0.379718917</v>
      </c>
      <c r="N1282" s="2">
        <f t="shared" si="8"/>
        <v>0.05307048247</v>
      </c>
      <c r="O1282" s="2"/>
      <c r="P1282" s="4"/>
      <c r="Q1282" s="4"/>
      <c r="R1282" s="4"/>
    </row>
    <row r="1283" ht="14.25" customHeight="1">
      <c r="K1283" s="2">
        <v>0.01281</v>
      </c>
      <c r="L1283" s="2">
        <f t="shared" si="6"/>
        <v>0.0003281383626</v>
      </c>
      <c r="M1283" s="2">
        <f t="shared" si="7"/>
        <v>0.3803123623</v>
      </c>
      <c r="N1283" s="2">
        <f t="shared" si="8"/>
        <v>0.05313476112</v>
      </c>
      <c r="O1283" s="2"/>
      <c r="P1283" s="4"/>
      <c r="Q1283" s="4"/>
      <c r="R1283" s="4"/>
    </row>
    <row r="1284" ht="14.25" customHeight="1">
      <c r="K1284" s="2">
        <v>0.01282</v>
      </c>
      <c r="L1284" s="2">
        <f t="shared" si="6"/>
        <v>0.0003286507943</v>
      </c>
      <c r="M1284" s="2">
        <f t="shared" si="7"/>
        <v>0.3809062706</v>
      </c>
      <c r="N1284" s="2">
        <f t="shared" si="8"/>
        <v>0.05319909318</v>
      </c>
      <c r="O1284" s="2"/>
      <c r="P1284" s="4"/>
      <c r="Q1284" s="4"/>
      <c r="R1284" s="4"/>
    </row>
    <row r="1285" ht="14.25" customHeight="1">
      <c r="K1285" s="2">
        <v>0.01283</v>
      </c>
      <c r="L1285" s="2">
        <f t="shared" si="6"/>
        <v>0.0003291636257</v>
      </c>
      <c r="M1285" s="2">
        <f t="shared" si="7"/>
        <v>0.3815006421</v>
      </c>
      <c r="N1285" s="2">
        <f t="shared" si="8"/>
        <v>0.05326347872</v>
      </c>
      <c r="O1285" s="2"/>
      <c r="P1285" s="4"/>
      <c r="Q1285" s="4"/>
      <c r="R1285" s="4"/>
    </row>
    <row r="1286" ht="14.25" customHeight="1">
      <c r="K1286" s="2">
        <v>0.01284</v>
      </c>
      <c r="L1286" s="2">
        <f t="shared" si="6"/>
        <v>0.0003296768566</v>
      </c>
      <c r="M1286" s="2">
        <f t="shared" si="7"/>
        <v>0.3820954768</v>
      </c>
      <c r="N1286" s="2">
        <f t="shared" si="8"/>
        <v>0.05332791775</v>
      </c>
      <c r="O1286" s="2"/>
      <c r="P1286" s="4"/>
      <c r="Q1286" s="4"/>
      <c r="R1286" s="4"/>
    </row>
    <row r="1287" ht="14.25" customHeight="1">
      <c r="K1287" s="2">
        <v>0.01285</v>
      </c>
      <c r="L1287" s="2">
        <f t="shared" si="6"/>
        <v>0.0003301904871</v>
      </c>
      <c r="M1287" s="2">
        <f t="shared" si="7"/>
        <v>0.3826907746</v>
      </c>
      <c r="N1287" s="2">
        <f t="shared" si="8"/>
        <v>0.05339241034</v>
      </c>
      <c r="O1287" s="2"/>
      <c r="P1287" s="4"/>
      <c r="Q1287" s="4"/>
      <c r="R1287" s="4"/>
    </row>
    <row r="1288" ht="14.25" customHeight="1">
      <c r="K1288" s="2">
        <v>0.01286</v>
      </c>
      <c r="L1288" s="2">
        <f t="shared" si="6"/>
        <v>0.0003307045173</v>
      </c>
      <c r="M1288" s="2">
        <f t="shared" si="7"/>
        <v>0.3832865355</v>
      </c>
      <c r="N1288" s="2">
        <f t="shared" si="8"/>
        <v>0.05345695651</v>
      </c>
      <c r="O1288" s="2"/>
      <c r="P1288" s="4"/>
      <c r="Q1288" s="4"/>
      <c r="R1288" s="4"/>
    </row>
    <row r="1289" ht="14.25" customHeight="1">
      <c r="K1289" s="2">
        <v>0.01287</v>
      </c>
      <c r="L1289" s="2">
        <f t="shared" si="6"/>
        <v>0.000331218947</v>
      </c>
      <c r="M1289" s="2">
        <f t="shared" si="7"/>
        <v>0.3838827596</v>
      </c>
      <c r="N1289" s="2">
        <f t="shared" si="8"/>
        <v>0.05352155631</v>
      </c>
      <c r="O1289" s="2"/>
      <c r="P1289" s="4"/>
      <c r="Q1289" s="4"/>
      <c r="R1289" s="4"/>
    </row>
    <row r="1290" ht="14.25" customHeight="1">
      <c r="K1290" s="2">
        <v>0.01288</v>
      </c>
      <c r="L1290" s="2">
        <f t="shared" si="6"/>
        <v>0.0003317337764</v>
      </c>
      <c r="M1290" s="2">
        <f t="shared" si="7"/>
        <v>0.3844794468</v>
      </c>
      <c r="N1290" s="2">
        <f t="shared" si="8"/>
        <v>0.05358620978</v>
      </c>
      <c r="O1290" s="2"/>
      <c r="P1290" s="4"/>
      <c r="Q1290" s="4"/>
      <c r="R1290" s="4"/>
    </row>
    <row r="1291" ht="14.25" customHeight="1">
      <c r="K1291" s="2">
        <v>0.01289</v>
      </c>
      <c r="L1291" s="2">
        <f t="shared" si="6"/>
        <v>0.0003322490053</v>
      </c>
      <c r="M1291" s="2">
        <f t="shared" si="7"/>
        <v>0.3850765971</v>
      </c>
      <c r="N1291" s="2">
        <f t="shared" si="8"/>
        <v>0.05365091697</v>
      </c>
      <c r="O1291" s="2"/>
      <c r="P1291" s="4"/>
      <c r="Q1291" s="4"/>
      <c r="R1291" s="4"/>
    </row>
    <row r="1292" ht="14.25" customHeight="1">
      <c r="K1292" s="2">
        <v>0.0129</v>
      </c>
      <c r="L1292" s="2">
        <f t="shared" si="6"/>
        <v>0.0003327646338</v>
      </c>
      <c r="M1292" s="2">
        <f t="shared" si="7"/>
        <v>0.3856742106</v>
      </c>
      <c r="N1292" s="2">
        <f t="shared" si="8"/>
        <v>0.05371567791</v>
      </c>
      <c r="O1292" s="2"/>
      <c r="P1292" s="4"/>
      <c r="Q1292" s="4"/>
      <c r="R1292" s="4"/>
    </row>
    <row r="1293" ht="14.25" customHeight="1">
      <c r="K1293" s="2">
        <v>0.01291</v>
      </c>
      <c r="L1293" s="2">
        <f t="shared" si="6"/>
        <v>0.000333280662</v>
      </c>
      <c r="M1293" s="2">
        <f t="shared" si="7"/>
        <v>0.3862722873</v>
      </c>
      <c r="N1293" s="2">
        <f t="shared" si="8"/>
        <v>0.05378049265</v>
      </c>
      <c r="O1293" s="2"/>
      <c r="P1293" s="4"/>
      <c r="Q1293" s="4"/>
      <c r="R1293" s="4"/>
    </row>
    <row r="1294" ht="14.25" customHeight="1">
      <c r="K1294" s="2">
        <v>0.01292</v>
      </c>
      <c r="L1294" s="2">
        <f t="shared" si="6"/>
        <v>0.0003337970898</v>
      </c>
      <c r="M1294" s="2">
        <f t="shared" si="7"/>
        <v>0.386870827</v>
      </c>
      <c r="N1294" s="2">
        <f t="shared" si="8"/>
        <v>0.05384536123</v>
      </c>
      <c r="O1294" s="2"/>
      <c r="P1294" s="4"/>
      <c r="Q1294" s="4"/>
      <c r="R1294" s="4"/>
    </row>
    <row r="1295" ht="14.25" customHeight="1">
      <c r="K1295" s="2">
        <v>0.01293</v>
      </c>
      <c r="L1295" s="2">
        <f t="shared" si="6"/>
        <v>0.0003343139171</v>
      </c>
      <c r="M1295" s="2">
        <f t="shared" si="7"/>
        <v>0.3874698299</v>
      </c>
      <c r="N1295" s="2">
        <f t="shared" si="8"/>
        <v>0.05391028368</v>
      </c>
      <c r="O1295" s="2"/>
      <c r="P1295" s="4"/>
      <c r="Q1295" s="4"/>
      <c r="R1295" s="4"/>
    </row>
    <row r="1296" ht="14.25" customHeight="1">
      <c r="K1296" s="2">
        <v>0.01294</v>
      </c>
      <c r="L1296" s="2">
        <f t="shared" si="6"/>
        <v>0.0003348311441</v>
      </c>
      <c r="M1296" s="2">
        <f t="shared" si="7"/>
        <v>0.388069296</v>
      </c>
      <c r="N1296" s="2">
        <f t="shared" si="8"/>
        <v>0.05397526006</v>
      </c>
      <c r="O1296" s="2"/>
      <c r="P1296" s="4"/>
      <c r="Q1296" s="4"/>
      <c r="R1296" s="4"/>
    </row>
    <row r="1297" ht="14.25" customHeight="1">
      <c r="K1297" s="2">
        <v>0.01295</v>
      </c>
      <c r="L1297" s="2">
        <f t="shared" si="6"/>
        <v>0.0003353487706</v>
      </c>
      <c r="M1297" s="2">
        <f t="shared" si="7"/>
        <v>0.3886692251</v>
      </c>
      <c r="N1297" s="2">
        <f t="shared" si="8"/>
        <v>0.05404029039</v>
      </c>
      <c r="O1297" s="2"/>
      <c r="P1297" s="4"/>
      <c r="Q1297" s="4"/>
      <c r="R1297" s="4"/>
    </row>
    <row r="1298" ht="14.25" customHeight="1">
      <c r="K1298" s="2">
        <v>0.01296</v>
      </c>
      <c r="L1298" s="2">
        <f t="shared" si="6"/>
        <v>0.0003358667967</v>
      </c>
      <c r="M1298" s="2">
        <f t="shared" si="7"/>
        <v>0.3892696174</v>
      </c>
      <c r="N1298" s="2">
        <f t="shared" si="8"/>
        <v>0.05410537474</v>
      </c>
      <c r="O1298" s="2"/>
      <c r="P1298" s="4"/>
      <c r="Q1298" s="4"/>
      <c r="R1298" s="4"/>
    </row>
    <row r="1299" ht="14.25" customHeight="1">
      <c r="K1299" s="2">
        <v>0.01297</v>
      </c>
      <c r="L1299" s="2">
        <f t="shared" si="6"/>
        <v>0.0003363852225</v>
      </c>
      <c r="M1299" s="2">
        <f t="shared" si="7"/>
        <v>0.3898704729</v>
      </c>
      <c r="N1299" s="2">
        <f t="shared" si="8"/>
        <v>0.05417051312</v>
      </c>
      <c r="O1299" s="2"/>
      <c r="P1299" s="4"/>
      <c r="Q1299" s="4"/>
      <c r="R1299" s="4"/>
    </row>
    <row r="1300" ht="14.25" customHeight="1">
      <c r="K1300" s="2">
        <v>0.01298</v>
      </c>
      <c r="L1300" s="2">
        <f t="shared" si="6"/>
        <v>0.0003369040478</v>
      </c>
      <c r="M1300" s="2">
        <f t="shared" si="7"/>
        <v>0.3904717914</v>
      </c>
      <c r="N1300" s="2">
        <f t="shared" si="8"/>
        <v>0.0542357056</v>
      </c>
      <c r="O1300" s="2"/>
      <c r="P1300" s="4"/>
      <c r="Q1300" s="4"/>
      <c r="R1300" s="4"/>
    </row>
    <row r="1301" ht="14.25" customHeight="1">
      <c r="K1301" s="2">
        <v>0.01299</v>
      </c>
      <c r="L1301" s="2">
        <f t="shared" si="6"/>
        <v>0.0003374232728</v>
      </c>
      <c r="M1301" s="2">
        <f t="shared" si="7"/>
        <v>0.3910735731</v>
      </c>
      <c r="N1301" s="2">
        <f t="shared" si="8"/>
        <v>0.0543009522</v>
      </c>
      <c r="O1301" s="2"/>
      <c r="P1301" s="4"/>
      <c r="Q1301" s="4"/>
      <c r="R1301" s="4"/>
    </row>
    <row r="1302" ht="14.25" customHeight="1">
      <c r="K1302" s="2">
        <v>0.013</v>
      </c>
      <c r="L1302" s="2">
        <f t="shared" si="6"/>
        <v>0.0003379428973</v>
      </c>
      <c r="M1302" s="2">
        <f t="shared" si="7"/>
        <v>0.391675818</v>
      </c>
      <c r="N1302" s="2">
        <f t="shared" si="8"/>
        <v>0.05436625298</v>
      </c>
      <c r="O1302" s="2"/>
      <c r="P1302" s="4"/>
      <c r="Q1302" s="4"/>
      <c r="R1302" s="4"/>
    </row>
    <row r="1303" ht="14.25" customHeight="1">
      <c r="K1303" s="2">
        <v>0.01301</v>
      </c>
      <c r="L1303" s="2">
        <f t="shared" si="6"/>
        <v>0.0003384629214</v>
      </c>
      <c r="M1303" s="2">
        <f t="shared" si="7"/>
        <v>0.3922785259</v>
      </c>
      <c r="N1303" s="2">
        <f t="shared" si="8"/>
        <v>0.05443160796</v>
      </c>
      <c r="O1303" s="2"/>
      <c r="P1303" s="4"/>
      <c r="Q1303" s="4"/>
      <c r="R1303" s="4"/>
    </row>
    <row r="1304" ht="14.25" customHeight="1">
      <c r="K1304" s="2">
        <v>0.01302</v>
      </c>
      <c r="L1304" s="2">
        <f t="shared" si="6"/>
        <v>0.0003389833451</v>
      </c>
      <c r="M1304" s="2">
        <f t="shared" si="7"/>
        <v>0.392881697</v>
      </c>
      <c r="N1304" s="2">
        <f t="shared" si="8"/>
        <v>0.0544970172</v>
      </c>
      <c r="O1304" s="2"/>
      <c r="P1304" s="4"/>
      <c r="Q1304" s="4"/>
      <c r="R1304" s="4"/>
    </row>
    <row r="1305" ht="14.25" customHeight="1">
      <c r="K1305" s="2">
        <v>0.01303</v>
      </c>
      <c r="L1305" s="2">
        <f t="shared" si="6"/>
        <v>0.0003395041685</v>
      </c>
      <c r="M1305" s="2">
        <f t="shared" si="7"/>
        <v>0.3934853312</v>
      </c>
      <c r="N1305" s="2">
        <f t="shared" si="8"/>
        <v>0.05456248074</v>
      </c>
      <c r="O1305" s="2"/>
      <c r="P1305" s="4"/>
      <c r="Q1305" s="4"/>
      <c r="R1305" s="4"/>
    </row>
    <row r="1306" ht="14.25" customHeight="1">
      <c r="K1306" s="2">
        <v>0.01304</v>
      </c>
      <c r="L1306" s="2">
        <f t="shared" si="6"/>
        <v>0.0003400253914</v>
      </c>
      <c r="M1306" s="2">
        <f t="shared" si="7"/>
        <v>0.3940894286</v>
      </c>
      <c r="N1306" s="2">
        <f t="shared" si="8"/>
        <v>0.05462799861</v>
      </c>
      <c r="O1306" s="2"/>
      <c r="P1306" s="4"/>
      <c r="Q1306" s="4"/>
      <c r="R1306" s="4"/>
    </row>
    <row r="1307" ht="14.25" customHeight="1">
      <c r="K1307" s="2">
        <v>0.01305</v>
      </c>
      <c r="L1307" s="2">
        <f t="shared" si="6"/>
        <v>0.0003405470139</v>
      </c>
      <c r="M1307" s="2">
        <f t="shared" si="7"/>
        <v>0.3946939891</v>
      </c>
      <c r="N1307" s="2">
        <f t="shared" si="8"/>
        <v>0.05469357086</v>
      </c>
      <c r="O1307" s="2"/>
      <c r="P1307" s="4"/>
      <c r="Q1307" s="4"/>
      <c r="R1307" s="4"/>
    </row>
    <row r="1308" ht="14.25" customHeight="1">
      <c r="K1308" s="2">
        <v>0.01306</v>
      </c>
      <c r="L1308" s="2">
        <f t="shared" si="6"/>
        <v>0.000341069036</v>
      </c>
      <c r="M1308" s="2">
        <f t="shared" si="7"/>
        <v>0.3952990127</v>
      </c>
      <c r="N1308" s="2">
        <f t="shared" si="8"/>
        <v>0.05475919752</v>
      </c>
      <c r="O1308" s="2"/>
      <c r="P1308" s="4"/>
      <c r="Q1308" s="4"/>
      <c r="R1308" s="4"/>
    </row>
    <row r="1309" ht="14.25" customHeight="1">
      <c r="K1309" s="2">
        <v>0.01307</v>
      </c>
      <c r="L1309" s="2">
        <f t="shared" si="6"/>
        <v>0.0003415914576</v>
      </c>
      <c r="M1309" s="2">
        <f t="shared" si="7"/>
        <v>0.3959044994</v>
      </c>
      <c r="N1309" s="2">
        <f t="shared" si="8"/>
        <v>0.05482487865</v>
      </c>
      <c r="O1309" s="2"/>
      <c r="P1309" s="4"/>
      <c r="Q1309" s="4"/>
      <c r="R1309" s="4"/>
    </row>
    <row r="1310" ht="14.25" customHeight="1">
      <c r="K1310" s="2">
        <v>0.01308</v>
      </c>
      <c r="L1310" s="2">
        <f t="shared" si="6"/>
        <v>0.0003421142789</v>
      </c>
      <c r="M1310" s="2">
        <f t="shared" si="7"/>
        <v>0.3965104493</v>
      </c>
      <c r="N1310" s="2">
        <f t="shared" si="8"/>
        <v>0.05489061429</v>
      </c>
      <c r="O1310" s="2"/>
      <c r="P1310" s="4"/>
      <c r="Q1310" s="4"/>
      <c r="R1310" s="4"/>
    </row>
    <row r="1311" ht="14.25" customHeight="1">
      <c r="K1311" s="2">
        <v>0.01309</v>
      </c>
      <c r="L1311" s="2">
        <f t="shared" si="6"/>
        <v>0.0003426374998</v>
      </c>
      <c r="M1311" s="2">
        <f t="shared" si="7"/>
        <v>0.3971168622</v>
      </c>
      <c r="N1311" s="2">
        <f t="shared" si="8"/>
        <v>0.05495640446</v>
      </c>
      <c r="O1311" s="2"/>
      <c r="P1311" s="4"/>
      <c r="Q1311" s="4"/>
      <c r="R1311" s="4"/>
    </row>
    <row r="1312" ht="14.25" customHeight="1">
      <c r="K1312" s="2">
        <v>0.0131</v>
      </c>
      <c r="L1312" s="2">
        <f t="shared" si="6"/>
        <v>0.0003431611202</v>
      </c>
      <c r="M1312" s="2">
        <f t="shared" si="7"/>
        <v>0.3977237383</v>
      </c>
      <c r="N1312" s="2">
        <f t="shared" si="8"/>
        <v>0.05502224923</v>
      </c>
      <c r="O1312" s="2"/>
      <c r="P1312" s="4"/>
      <c r="Q1312" s="4"/>
      <c r="R1312" s="4"/>
    </row>
    <row r="1313" ht="14.25" customHeight="1">
      <c r="K1313" s="2">
        <v>0.01311</v>
      </c>
      <c r="L1313" s="2">
        <f t="shared" si="6"/>
        <v>0.0003436851403</v>
      </c>
      <c r="M1313" s="2">
        <f t="shared" si="7"/>
        <v>0.3983310776</v>
      </c>
      <c r="N1313" s="2">
        <f t="shared" si="8"/>
        <v>0.05508814862</v>
      </c>
      <c r="O1313" s="2"/>
      <c r="P1313" s="4"/>
      <c r="Q1313" s="4"/>
      <c r="R1313" s="4"/>
    </row>
    <row r="1314" ht="14.25" customHeight="1">
      <c r="K1314" s="2">
        <v>0.01312</v>
      </c>
      <c r="L1314" s="2">
        <f t="shared" si="6"/>
        <v>0.0003442095599</v>
      </c>
      <c r="M1314" s="2">
        <f t="shared" si="7"/>
        <v>0.3989388799</v>
      </c>
      <c r="N1314" s="2">
        <f t="shared" si="8"/>
        <v>0.05515410267</v>
      </c>
      <c r="O1314" s="2"/>
      <c r="P1314" s="4"/>
      <c r="Q1314" s="4"/>
      <c r="R1314" s="4"/>
    </row>
    <row r="1315" ht="14.25" customHeight="1">
      <c r="K1315" s="2">
        <v>0.01313</v>
      </c>
      <c r="L1315" s="2">
        <f t="shared" si="6"/>
        <v>0.0003447343791</v>
      </c>
      <c r="M1315" s="2">
        <f t="shared" si="7"/>
        <v>0.3995471454</v>
      </c>
      <c r="N1315" s="2">
        <f t="shared" si="8"/>
        <v>0.05522011144</v>
      </c>
      <c r="O1315" s="2"/>
      <c r="P1315" s="4"/>
      <c r="Q1315" s="4"/>
      <c r="R1315" s="4"/>
    </row>
    <row r="1316" ht="14.25" customHeight="1">
      <c r="K1316" s="2">
        <v>0.01314</v>
      </c>
      <c r="L1316" s="2">
        <f t="shared" si="6"/>
        <v>0.0003452595979</v>
      </c>
      <c r="M1316" s="2">
        <f t="shared" si="7"/>
        <v>0.400155874</v>
      </c>
      <c r="N1316" s="2">
        <f t="shared" si="8"/>
        <v>0.05528617497</v>
      </c>
      <c r="O1316" s="2"/>
      <c r="P1316" s="4"/>
      <c r="Q1316" s="4"/>
      <c r="R1316" s="4"/>
    </row>
    <row r="1317" ht="14.25" customHeight="1">
      <c r="K1317" s="2">
        <v>0.01315</v>
      </c>
      <c r="L1317" s="2">
        <f t="shared" si="6"/>
        <v>0.0003457852163</v>
      </c>
      <c r="M1317" s="2">
        <f t="shared" si="7"/>
        <v>0.4007650657</v>
      </c>
      <c r="N1317" s="2">
        <f t="shared" si="8"/>
        <v>0.05535229328</v>
      </c>
      <c r="O1317" s="2"/>
      <c r="P1317" s="4"/>
      <c r="Q1317" s="4"/>
      <c r="R1317" s="4"/>
    </row>
    <row r="1318" ht="14.25" customHeight="1">
      <c r="K1318" s="2">
        <v>0.01316</v>
      </c>
      <c r="L1318" s="2">
        <f t="shared" si="6"/>
        <v>0.0003463112343</v>
      </c>
      <c r="M1318" s="2">
        <f t="shared" si="7"/>
        <v>0.4013747205</v>
      </c>
      <c r="N1318" s="2">
        <f t="shared" si="8"/>
        <v>0.05541846643</v>
      </c>
      <c r="O1318" s="2"/>
      <c r="P1318" s="4"/>
      <c r="Q1318" s="4"/>
      <c r="R1318" s="4"/>
    </row>
    <row r="1319" ht="14.25" customHeight="1">
      <c r="K1319" s="2">
        <v>0.01317</v>
      </c>
      <c r="L1319" s="2">
        <f t="shared" si="6"/>
        <v>0.0003468376518</v>
      </c>
      <c r="M1319" s="2">
        <f t="shared" si="7"/>
        <v>0.4019848385</v>
      </c>
      <c r="N1319" s="2">
        <f t="shared" si="8"/>
        <v>0.05548469446</v>
      </c>
      <c r="O1319" s="2"/>
      <c r="P1319" s="4"/>
      <c r="Q1319" s="4"/>
      <c r="R1319" s="4"/>
    </row>
    <row r="1320" ht="14.25" customHeight="1">
      <c r="K1320" s="2">
        <v>0.01318</v>
      </c>
      <c r="L1320" s="2">
        <f t="shared" si="6"/>
        <v>0.000347364469</v>
      </c>
      <c r="M1320" s="2">
        <f t="shared" si="7"/>
        <v>0.4025954195</v>
      </c>
      <c r="N1320" s="2">
        <f t="shared" si="8"/>
        <v>0.0555509774</v>
      </c>
      <c r="O1320" s="2"/>
      <c r="P1320" s="4"/>
      <c r="Q1320" s="4"/>
      <c r="R1320" s="4"/>
    </row>
    <row r="1321" ht="14.25" customHeight="1">
      <c r="K1321" s="2">
        <v>0.01319</v>
      </c>
      <c r="L1321" s="2">
        <f t="shared" si="6"/>
        <v>0.0003478916857</v>
      </c>
      <c r="M1321" s="2">
        <f t="shared" si="7"/>
        <v>0.4032064637</v>
      </c>
      <c r="N1321" s="2">
        <f t="shared" si="8"/>
        <v>0.05561731531</v>
      </c>
      <c r="O1321" s="2"/>
      <c r="P1321" s="4"/>
      <c r="Q1321" s="4"/>
      <c r="R1321" s="4"/>
    </row>
    <row r="1322" ht="14.25" customHeight="1">
      <c r="K1322" s="2">
        <v>0.0132</v>
      </c>
      <c r="L1322" s="2">
        <f t="shared" si="6"/>
        <v>0.000348419302</v>
      </c>
      <c r="M1322" s="2">
        <f t="shared" si="7"/>
        <v>0.403817971</v>
      </c>
      <c r="N1322" s="2">
        <f t="shared" si="8"/>
        <v>0.05568370822</v>
      </c>
      <c r="O1322" s="2"/>
      <c r="P1322" s="4"/>
      <c r="Q1322" s="4"/>
      <c r="R1322" s="4"/>
    </row>
    <row r="1323" ht="14.25" customHeight="1">
      <c r="K1323" s="2">
        <v>0.01321</v>
      </c>
      <c r="L1323" s="2">
        <f t="shared" si="6"/>
        <v>0.0003489473179</v>
      </c>
      <c r="M1323" s="2">
        <f t="shared" si="7"/>
        <v>0.4044299414</v>
      </c>
      <c r="N1323" s="2">
        <f t="shared" si="8"/>
        <v>0.05575015617</v>
      </c>
      <c r="O1323" s="2"/>
      <c r="P1323" s="4"/>
      <c r="Q1323" s="4"/>
      <c r="R1323" s="4"/>
    </row>
    <row r="1324" ht="14.25" customHeight="1">
      <c r="K1324" s="2">
        <v>0.01322</v>
      </c>
      <c r="L1324" s="2">
        <f t="shared" si="6"/>
        <v>0.0003494757334</v>
      </c>
      <c r="M1324" s="2">
        <f t="shared" si="7"/>
        <v>0.405042375</v>
      </c>
      <c r="N1324" s="2">
        <f t="shared" si="8"/>
        <v>0.0558166592</v>
      </c>
      <c r="O1324" s="2"/>
      <c r="P1324" s="4"/>
      <c r="Q1324" s="4"/>
      <c r="R1324" s="4"/>
    </row>
    <row r="1325" ht="14.25" customHeight="1">
      <c r="K1325" s="2">
        <v>0.01323</v>
      </c>
      <c r="L1325" s="2">
        <f t="shared" si="6"/>
        <v>0.0003500045484</v>
      </c>
      <c r="M1325" s="2">
        <f t="shared" si="7"/>
        <v>0.4056552716</v>
      </c>
      <c r="N1325" s="2">
        <f t="shared" si="8"/>
        <v>0.05588321736</v>
      </c>
      <c r="O1325" s="2"/>
      <c r="P1325" s="4"/>
      <c r="Q1325" s="4"/>
      <c r="R1325" s="4"/>
    </row>
    <row r="1326" ht="14.25" customHeight="1">
      <c r="K1326" s="2">
        <v>0.01324</v>
      </c>
      <c r="L1326" s="2">
        <f t="shared" si="6"/>
        <v>0.000350533763</v>
      </c>
      <c r="M1326" s="2">
        <f t="shared" si="7"/>
        <v>0.4062686314</v>
      </c>
      <c r="N1326" s="2">
        <f t="shared" si="8"/>
        <v>0.05594983069</v>
      </c>
      <c r="O1326" s="2"/>
      <c r="P1326" s="4"/>
      <c r="Q1326" s="4"/>
      <c r="R1326" s="4"/>
    </row>
    <row r="1327" ht="14.25" customHeight="1">
      <c r="K1327" s="2">
        <v>0.01325</v>
      </c>
      <c r="L1327" s="2">
        <f t="shared" si="6"/>
        <v>0.0003510633773</v>
      </c>
      <c r="M1327" s="2">
        <f t="shared" si="7"/>
        <v>0.4068824542</v>
      </c>
      <c r="N1327" s="2">
        <f t="shared" si="8"/>
        <v>0.05601649923</v>
      </c>
      <c r="O1327" s="2"/>
      <c r="P1327" s="4"/>
      <c r="Q1327" s="4"/>
      <c r="R1327" s="4"/>
    </row>
    <row r="1328" ht="14.25" customHeight="1">
      <c r="K1328" s="2">
        <v>0.01326</v>
      </c>
      <c r="L1328" s="2">
        <f t="shared" si="6"/>
        <v>0.000351593391</v>
      </c>
      <c r="M1328" s="2">
        <f t="shared" si="7"/>
        <v>0.4074967402</v>
      </c>
      <c r="N1328" s="2">
        <f t="shared" si="8"/>
        <v>0.05608322302</v>
      </c>
      <c r="O1328" s="2"/>
      <c r="P1328" s="4"/>
      <c r="Q1328" s="4"/>
      <c r="R1328" s="4"/>
    </row>
    <row r="1329" ht="14.25" customHeight="1">
      <c r="K1329" s="2">
        <v>0.01327</v>
      </c>
      <c r="L1329" s="2">
        <f t="shared" si="6"/>
        <v>0.0003521238044</v>
      </c>
      <c r="M1329" s="2">
        <f t="shared" si="7"/>
        <v>0.4081114893</v>
      </c>
      <c r="N1329" s="2">
        <f t="shared" si="8"/>
        <v>0.0561500021</v>
      </c>
      <c r="O1329" s="2"/>
      <c r="P1329" s="4"/>
      <c r="Q1329" s="4"/>
      <c r="R1329" s="4"/>
    </row>
    <row r="1330" ht="14.25" customHeight="1">
      <c r="K1330" s="2">
        <v>0.01328</v>
      </c>
      <c r="L1330" s="2">
        <f t="shared" si="6"/>
        <v>0.0003526546174</v>
      </c>
      <c r="M1330" s="2">
        <f t="shared" si="7"/>
        <v>0.4087267015</v>
      </c>
      <c r="N1330" s="2">
        <f t="shared" si="8"/>
        <v>0.05621683651</v>
      </c>
      <c r="O1330" s="2"/>
      <c r="P1330" s="4"/>
      <c r="Q1330" s="4"/>
      <c r="R1330" s="4"/>
    </row>
    <row r="1331" ht="14.25" customHeight="1">
      <c r="K1331" s="2">
        <v>0.01329</v>
      </c>
      <c r="L1331" s="2">
        <f t="shared" si="6"/>
        <v>0.0003531858299</v>
      </c>
      <c r="M1331" s="2">
        <f t="shared" si="7"/>
        <v>0.4093423768</v>
      </c>
      <c r="N1331" s="2">
        <f t="shared" si="8"/>
        <v>0.0562837263</v>
      </c>
      <c r="O1331" s="2"/>
      <c r="P1331" s="4"/>
      <c r="Q1331" s="4"/>
      <c r="R1331" s="4"/>
    </row>
    <row r="1332" ht="14.25" customHeight="1">
      <c r="K1332" s="2">
        <v>0.0133</v>
      </c>
      <c r="L1332" s="2">
        <f t="shared" si="6"/>
        <v>0.000353717442</v>
      </c>
      <c r="M1332" s="2">
        <f t="shared" si="7"/>
        <v>0.4099585153</v>
      </c>
      <c r="N1332" s="2">
        <f t="shared" si="8"/>
        <v>0.05635067151</v>
      </c>
      <c r="O1332" s="2"/>
      <c r="P1332" s="4"/>
      <c r="Q1332" s="4"/>
      <c r="R1332" s="4"/>
    </row>
    <row r="1333" ht="14.25" customHeight="1">
      <c r="K1333" s="2">
        <v>0.01331</v>
      </c>
      <c r="L1333" s="2">
        <f t="shared" si="6"/>
        <v>0.0003542494537</v>
      </c>
      <c r="M1333" s="2">
        <f t="shared" si="7"/>
        <v>0.4105751168</v>
      </c>
      <c r="N1333" s="2">
        <f t="shared" si="8"/>
        <v>0.05641767217</v>
      </c>
      <c r="O1333" s="2"/>
      <c r="P1333" s="4"/>
      <c r="Q1333" s="4"/>
      <c r="R1333" s="4"/>
    </row>
    <row r="1334" ht="14.25" customHeight="1">
      <c r="K1334" s="2">
        <v>0.01332</v>
      </c>
      <c r="L1334" s="2">
        <f t="shared" si="6"/>
        <v>0.0003547818649</v>
      </c>
      <c r="M1334" s="2">
        <f t="shared" si="7"/>
        <v>0.4111921814</v>
      </c>
      <c r="N1334" s="2">
        <f t="shared" si="8"/>
        <v>0.05648472834</v>
      </c>
      <c r="O1334" s="2"/>
      <c r="P1334" s="4"/>
      <c r="Q1334" s="4"/>
      <c r="R1334" s="4"/>
    </row>
    <row r="1335" ht="14.25" customHeight="1">
      <c r="K1335" s="2">
        <v>0.01333</v>
      </c>
      <c r="L1335" s="2">
        <f t="shared" si="6"/>
        <v>0.0003553146757</v>
      </c>
      <c r="M1335" s="2">
        <f t="shared" si="7"/>
        <v>0.4118097092</v>
      </c>
      <c r="N1335" s="2">
        <f t="shared" si="8"/>
        <v>0.05655184004</v>
      </c>
      <c r="O1335" s="2"/>
      <c r="P1335" s="4"/>
      <c r="Q1335" s="4"/>
      <c r="R1335" s="4"/>
    </row>
    <row r="1336" ht="14.25" customHeight="1">
      <c r="K1336" s="2">
        <v>0.01334</v>
      </c>
      <c r="L1336" s="2">
        <f t="shared" si="6"/>
        <v>0.0003558478861</v>
      </c>
      <c r="M1336" s="2">
        <f t="shared" si="7"/>
        <v>0.4124277</v>
      </c>
      <c r="N1336" s="2">
        <f t="shared" si="8"/>
        <v>0.05661900733</v>
      </c>
      <c r="O1336" s="2"/>
      <c r="P1336" s="4"/>
      <c r="Q1336" s="4"/>
      <c r="R1336" s="4"/>
    </row>
    <row r="1337" ht="14.25" customHeight="1">
      <c r="K1337" s="2">
        <v>0.01335</v>
      </c>
      <c r="L1337" s="2">
        <f t="shared" si="6"/>
        <v>0.0003563814961</v>
      </c>
      <c r="M1337" s="2">
        <f t="shared" si="7"/>
        <v>0.413046154</v>
      </c>
      <c r="N1337" s="2">
        <f t="shared" si="8"/>
        <v>0.05668623025</v>
      </c>
      <c r="O1337" s="2"/>
      <c r="P1337" s="4"/>
      <c r="Q1337" s="4"/>
      <c r="R1337" s="4"/>
    </row>
    <row r="1338" ht="14.25" customHeight="1">
      <c r="K1338" s="2">
        <v>0.01336</v>
      </c>
      <c r="L1338" s="2">
        <f t="shared" si="6"/>
        <v>0.0003569155057</v>
      </c>
      <c r="M1338" s="2">
        <f t="shared" si="7"/>
        <v>0.4136650711</v>
      </c>
      <c r="N1338" s="2">
        <f t="shared" si="8"/>
        <v>0.05675350883</v>
      </c>
      <c r="O1338" s="2"/>
      <c r="P1338" s="4"/>
      <c r="Q1338" s="4"/>
      <c r="R1338" s="4"/>
    </row>
    <row r="1339" ht="14.25" customHeight="1">
      <c r="K1339" s="2">
        <v>0.01337</v>
      </c>
      <c r="L1339" s="2">
        <f t="shared" si="6"/>
        <v>0.0003574499148</v>
      </c>
      <c r="M1339" s="2">
        <f t="shared" si="7"/>
        <v>0.4142844512</v>
      </c>
      <c r="N1339" s="2">
        <f t="shared" si="8"/>
        <v>0.05682084312</v>
      </c>
      <c r="O1339" s="2"/>
      <c r="P1339" s="4"/>
      <c r="Q1339" s="4"/>
      <c r="R1339" s="4"/>
    </row>
    <row r="1340" ht="14.25" customHeight="1">
      <c r="K1340" s="2">
        <v>0.01338</v>
      </c>
      <c r="L1340" s="2">
        <f t="shared" si="6"/>
        <v>0.0003579847235</v>
      </c>
      <c r="M1340" s="2">
        <f t="shared" si="7"/>
        <v>0.4149042945</v>
      </c>
      <c r="N1340" s="2">
        <f t="shared" si="8"/>
        <v>0.05688823316</v>
      </c>
      <c r="O1340" s="2"/>
      <c r="P1340" s="4"/>
      <c r="Q1340" s="4"/>
      <c r="R1340" s="4"/>
    </row>
    <row r="1341" ht="14.25" customHeight="1">
      <c r="K1341" s="2">
        <v>0.01339</v>
      </c>
      <c r="L1341" s="2">
        <f t="shared" si="6"/>
        <v>0.0003585199317</v>
      </c>
      <c r="M1341" s="2">
        <f t="shared" si="7"/>
        <v>0.4155246009</v>
      </c>
      <c r="N1341" s="2">
        <f t="shared" si="8"/>
        <v>0.05695567899</v>
      </c>
      <c r="O1341" s="2"/>
      <c r="P1341" s="4"/>
      <c r="Q1341" s="4"/>
      <c r="R1341" s="4"/>
    </row>
    <row r="1342" ht="14.25" customHeight="1">
      <c r="K1342" s="2">
        <v>0.0134</v>
      </c>
      <c r="L1342" s="2">
        <f t="shared" si="6"/>
        <v>0.0003590555396</v>
      </c>
      <c r="M1342" s="2">
        <f t="shared" si="7"/>
        <v>0.4161453703</v>
      </c>
      <c r="N1342" s="2">
        <f t="shared" si="8"/>
        <v>0.05702318065</v>
      </c>
      <c r="O1342" s="2"/>
      <c r="P1342" s="4"/>
      <c r="Q1342" s="4"/>
      <c r="R1342" s="4"/>
    </row>
    <row r="1343" ht="14.25" customHeight="1">
      <c r="K1343" s="2">
        <v>0.01341</v>
      </c>
      <c r="L1343" s="2">
        <f t="shared" si="6"/>
        <v>0.000359591547</v>
      </c>
      <c r="M1343" s="2">
        <f t="shared" si="7"/>
        <v>0.4167666029</v>
      </c>
      <c r="N1343" s="2">
        <f t="shared" si="8"/>
        <v>0.05709073818</v>
      </c>
      <c r="O1343" s="2"/>
      <c r="P1343" s="4"/>
      <c r="Q1343" s="4"/>
      <c r="R1343" s="4"/>
    </row>
    <row r="1344" ht="14.25" customHeight="1">
      <c r="K1344" s="2">
        <v>0.01342</v>
      </c>
      <c r="L1344" s="2">
        <f t="shared" si="6"/>
        <v>0.0003601279539</v>
      </c>
      <c r="M1344" s="2">
        <f t="shared" si="7"/>
        <v>0.4173882986</v>
      </c>
      <c r="N1344" s="2">
        <f t="shared" si="8"/>
        <v>0.05715835163</v>
      </c>
      <c r="O1344" s="2"/>
      <c r="P1344" s="4"/>
      <c r="Q1344" s="4"/>
      <c r="R1344" s="4"/>
    </row>
    <row r="1345" ht="14.25" customHeight="1">
      <c r="K1345" s="2">
        <v>0.01343</v>
      </c>
      <c r="L1345" s="2">
        <f t="shared" si="6"/>
        <v>0.0003606647605</v>
      </c>
      <c r="M1345" s="2">
        <f t="shared" si="7"/>
        <v>0.4180104574</v>
      </c>
      <c r="N1345" s="2">
        <f t="shared" si="8"/>
        <v>0.05722602104</v>
      </c>
      <c r="O1345" s="2"/>
      <c r="P1345" s="4"/>
      <c r="Q1345" s="4"/>
      <c r="R1345" s="4"/>
    </row>
    <row r="1346" ht="14.25" customHeight="1">
      <c r="K1346" s="2">
        <v>0.01344</v>
      </c>
      <c r="L1346" s="2">
        <f t="shared" si="6"/>
        <v>0.0003612019666</v>
      </c>
      <c r="M1346" s="2">
        <f t="shared" si="7"/>
        <v>0.4186330793</v>
      </c>
      <c r="N1346" s="2">
        <f t="shared" si="8"/>
        <v>0.05729374645</v>
      </c>
      <c r="O1346" s="2"/>
      <c r="P1346" s="4"/>
      <c r="Q1346" s="4"/>
      <c r="R1346" s="4"/>
    </row>
    <row r="1347" ht="14.25" customHeight="1">
      <c r="K1347" s="2">
        <v>0.01345</v>
      </c>
      <c r="L1347" s="2">
        <f t="shared" si="6"/>
        <v>0.0003617395722</v>
      </c>
      <c r="M1347" s="2">
        <f t="shared" si="7"/>
        <v>0.4192561642</v>
      </c>
      <c r="N1347" s="2">
        <f t="shared" si="8"/>
        <v>0.05736152789</v>
      </c>
      <c r="O1347" s="2"/>
      <c r="P1347" s="4"/>
      <c r="Q1347" s="4"/>
      <c r="R1347" s="4"/>
    </row>
    <row r="1348" ht="14.25" customHeight="1">
      <c r="K1348" s="2">
        <v>0.01346</v>
      </c>
      <c r="L1348" s="2">
        <f t="shared" si="6"/>
        <v>0.0003622775775</v>
      </c>
      <c r="M1348" s="2">
        <f t="shared" si="7"/>
        <v>0.4198797123</v>
      </c>
      <c r="N1348" s="2">
        <f t="shared" si="8"/>
        <v>0.05742936542</v>
      </c>
      <c r="O1348" s="2"/>
      <c r="P1348" s="4"/>
      <c r="Q1348" s="4"/>
      <c r="R1348" s="4"/>
    </row>
    <row r="1349" ht="14.25" customHeight="1">
      <c r="K1349" s="2">
        <v>0.01347</v>
      </c>
      <c r="L1349" s="2">
        <f t="shared" si="6"/>
        <v>0.0003628159823</v>
      </c>
      <c r="M1349" s="2">
        <f t="shared" si="7"/>
        <v>0.4205037235</v>
      </c>
      <c r="N1349" s="2">
        <f t="shared" si="8"/>
        <v>0.05749725908</v>
      </c>
      <c r="O1349" s="2"/>
      <c r="P1349" s="4"/>
      <c r="Q1349" s="4"/>
      <c r="R1349" s="4"/>
    </row>
    <row r="1350" ht="14.25" customHeight="1">
      <c r="K1350" s="2">
        <v>0.01348</v>
      </c>
      <c r="L1350" s="2">
        <f t="shared" si="6"/>
        <v>0.0003633547866</v>
      </c>
      <c r="M1350" s="2">
        <f t="shared" si="7"/>
        <v>0.4211281977</v>
      </c>
      <c r="N1350" s="2">
        <f t="shared" si="8"/>
        <v>0.05756520889</v>
      </c>
      <c r="O1350" s="2"/>
      <c r="P1350" s="4"/>
      <c r="Q1350" s="4"/>
      <c r="R1350" s="4"/>
    </row>
    <row r="1351" ht="14.25" customHeight="1">
      <c r="K1351" s="2">
        <v>0.01349</v>
      </c>
      <c r="L1351" s="2">
        <f t="shared" si="6"/>
        <v>0.0003638939906</v>
      </c>
      <c r="M1351" s="2">
        <f t="shared" si="7"/>
        <v>0.4217531351</v>
      </c>
      <c r="N1351" s="2">
        <f t="shared" si="8"/>
        <v>0.05763321492</v>
      </c>
      <c r="O1351" s="2"/>
      <c r="P1351" s="4"/>
      <c r="Q1351" s="4"/>
      <c r="R1351" s="4"/>
    </row>
    <row r="1352" ht="14.25" customHeight="1">
      <c r="K1352" s="2">
        <v>0.0135</v>
      </c>
      <c r="L1352" s="2">
        <f t="shared" si="6"/>
        <v>0.0003644335941</v>
      </c>
      <c r="M1352" s="2">
        <f t="shared" si="7"/>
        <v>0.4223785355</v>
      </c>
      <c r="N1352" s="2">
        <f t="shared" si="8"/>
        <v>0.05770127719</v>
      </c>
      <c r="O1352" s="2"/>
      <c r="P1352" s="4"/>
      <c r="Q1352" s="4"/>
      <c r="R1352" s="4"/>
    </row>
    <row r="1353" ht="14.25" customHeight="1">
      <c r="K1353" s="2">
        <v>0.01351</v>
      </c>
      <c r="L1353" s="2">
        <f t="shared" si="6"/>
        <v>0.0003649735971</v>
      </c>
      <c r="M1353" s="2">
        <f t="shared" si="7"/>
        <v>0.4230043991</v>
      </c>
      <c r="N1353" s="2">
        <f t="shared" si="8"/>
        <v>0.05776939575</v>
      </c>
      <c r="O1353" s="2"/>
      <c r="P1353" s="4"/>
      <c r="Q1353" s="4"/>
      <c r="R1353" s="4"/>
    </row>
    <row r="1354" ht="14.25" customHeight="1">
      <c r="K1354" s="2">
        <v>0.01352</v>
      </c>
      <c r="L1354" s="2">
        <f t="shared" si="6"/>
        <v>0.0003655139998</v>
      </c>
      <c r="M1354" s="2">
        <f t="shared" si="7"/>
        <v>0.4236307257</v>
      </c>
      <c r="N1354" s="2">
        <f t="shared" si="8"/>
        <v>0.05783757064</v>
      </c>
      <c r="O1354" s="2"/>
      <c r="P1354" s="4"/>
      <c r="Q1354" s="4"/>
      <c r="R1354" s="4"/>
    </row>
    <row r="1355" ht="14.25" customHeight="1">
      <c r="K1355" s="2">
        <v>0.01353</v>
      </c>
      <c r="L1355" s="2">
        <f t="shared" si="6"/>
        <v>0.0003660548019</v>
      </c>
      <c r="M1355" s="2">
        <f t="shared" si="7"/>
        <v>0.4242575154</v>
      </c>
      <c r="N1355" s="2">
        <f t="shared" si="8"/>
        <v>0.0579058019</v>
      </c>
      <c r="O1355" s="2"/>
      <c r="P1355" s="4"/>
      <c r="Q1355" s="4"/>
      <c r="R1355" s="4"/>
    </row>
    <row r="1356" ht="14.25" customHeight="1">
      <c r="K1356" s="2">
        <v>0.01354</v>
      </c>
      <c r="L1356" s="2">
        <f t="shared" si="6"/>
        <v>0.0003665960037</v>
      </c>
      <c r="M1356" s="2">
        <f t="shared" si="7"/>
        <v>0.4248847683</v>
      </c>
      <c r="N1356" s="2">
        <f t="shared" si="8"/>
        <v>0.05797408958</v>
      </c>
      <c r="O1356" s="2"/>
      <c r="P1356" s="4"/>
      <c r="Q1356" s="4"/>
      <c r="R1356" s="4"/>
    </row>
    <row r="1357" ht="14.25" customHeight="1">
      <c r="K1357" s="2">
        <v>0.01355</v>
      </c>
      <c r="L1357" s="2">
        <f t="shared" si="6"/>
        <v>0.000367137605</v>
      </c>
      <c r="M1357" s="2">
        <f t="shared" si="7"/>
        <v>0.4255124842</v>
      </c>
      <c r="N1357" s="2">
        <f t="shared" si="8"/>
        <v>0.05804243371</v>
      </c>
      <c r="O1357" s="2"/>
      <c r="P1357" s="4"/>
      <c r="Q1357" s="4"/>
      <c r="R1357" s="4"/>
    </row>
    <row r="1358" ht="14.25" customHeight="1">
      <c r="K1358" s="2">
        <v>0.01356</v>
      </c>
      <c r="L1358" s="2">
        <f t="shared" si="6"/>
        <v>0.0003676796059</v>
      </c>
      <c r="M1358" s="2">
        <f t="shared" si="7"/>
        <v>0.4261406632</v>
      </c>
      <c r="N1358" s="2">
        <f t="shared" si="8"/>
        <v>0.05811083435</v>
      </c>
      <c r="O1358" s="2"/>
      <c r="P1358" s="4"/>
      <c r="Q1358" s="4"/>
      <c r="R1358" s="4"/>
    </row>
    <row r="1359" ht="14.25" customHeight="1">
      <c r="K1359" s="2">
        <v>0.01357</v>
      </c>
      <c r="L1359" s="2">
        <f t="shared" si="6"/>
        <v>0.0003682220063</v>
      </c>
      <c r="M1359" s="2">
        <f t="shared" si="7"/>
        <v>0.4267693053</v>
      </c>
      <c r="N1359" s="2">
        <f t="shared" si="8"/>
        <v>0.05817929152</v>
      </c>
      <c r="O1359" s="2"/>
      <c r="P1359" s="4"/>
      <c r="Q1359" s="4"/>
      <c r="R1359" s="4"/>
    </row>
    <row r="1360" ht="14.25" customHeight="1">
      <c r="K1360" s="2">
        <v>0.01358</v>
      </c>
      <c r="L1360" s="2">
        <f t="shared" si="6"/>
        <v>0.0003687648063</v>
      </c>
      <c r="M1360" s="2">
        <f t="shared" si="7"/>
        <v>0.4273984105</v>
      </c>
      <c r="N1360" s="2">
        <f t="shared" si="8"/>
        <v>0.05824780527</v>
      </c>
      <c r="O1360" s="2"/>
      <c r="P1360" s="4"/>
      <c r="Q1360" s="4"/>
      <c r="R1360" s="4"/>
    </row>
    <row r="1361" ht="14.25" customHeight="1">
      <c r="K1361" s="2">
        <v>0.01359</v>
      </c>
      <c r="L1361" s="2">
        <f t="shared" si="6"/>
        <v>0.0003693080058</v>
      </c>
      <c r="M1361" s="2">
        <f t="shared" si="7"/>
        <v>0.4280279787</v>
      </c>
      <c r="N1361" s="2">
        <f t="shared" si="8"/>
        <v>0.05831637564</v>
      </c>
      <c r="O1361" s="2"/>
      <c r="P1361" s="4"/>
      <c r="Q1361" s="4"/>
      <c r="R1361" s="4"/>
    </row>
    <row r="1362" ht="14.25" customHeight="1">
      <c r="K1362" s="2">
        <v>0.0136</v>
      </c>
      <c r="L1362" s="2">
        <f t="shared" si="6"/>
        <v>0.0003698516049</v>
      </c>
      <c r="M1362" s="2">
        <f t="shared" si="7"/>
        <v>0.4286580101</v>
      </c>
      <c r="N1362" s="2">
        <f t="shared" si="8"/>
        <v>0.05838500267</v>
      </c>
      <c r="O1362" s="2"/>
      <c r="P1362" s="4"/>
      <c r="Q1362" s="4"/>
      <c r="R1362" s="4"/>
    </row>
    <row r="1363" ht="14.25" customHeight="1">
      <c r="K1363" s="2">
        <v>0.01361</v>
      </c>
      <c r="L1363" s="2">
        <f t="shared" si="6"/>
        <v>0.0003703956035</v>
      </c>
      <c r="M1363" s="2">
        <f t="shared" si="7"/>
        <v>0.4292885045</v>
      </c>
      <c r="N1363" s="2">
        <f t="shared" si="8"/>
        <v>0.05845368641</v>
      </c>
      <c r="O1363" s="2"/>
      <c r="P1363" s="4"/>
      <c r="Q1363" s="4"/>
      <c r="R1363" s="4"/>
    </row>
    <row r="1364" ht="14.25" customHeight="1">
      <c r="K1364" s="2">
        <v>0.01362</v>
      </c>
      <c r="L1364" s="2">
        <f t="shared" si="6"/>
        <v>0.0003709400018</v>
      </c>
      <c r="M1364" s="2">
        <f t="shared" si="7"/>
        <v>0.429919462</v>
      </c>
      <c r="N1364" s="2">
        <f t="shared" si="8"/>
        <v>0.0585224269</v>
      </c>
      <c r="O1364" s="2"/>
      <c r="P1364" s="4"/>
      <c r="Q1364" s="4"/>
      <c r="R1364" s="4"/>
    </row>
    <row r="1365" ht="14.25" customHeight="1">
      <c r="K1365" s="2">
        <v>0.01363</v>
      </c>
      <c r="L1365" s="2">
        <f t="shared" si="6"/>
        <v>0.0003714847995</v>
      </c>
      <c r="M1365" s="2">
        <f t="shared" si="7"/>
        <v>0.4305508826</v>
      </c>
      <c r="N1365" s="2">
        <f t="shared" si="8"/>
        <v>0.05859122417</v>
      </c>
      <c r="O1365" s="2"/>
      <c r="P1365" s="4"/>
      <c r="Q1365" s="4"/>
      <c r="R1365" s="4"/>
    </row>
    <row r="1366" ht="14.25" customHeight="1">
      <c r="K1366" s="2">
        <v>0.01364</v>
      </c>
      <c r="L1366" s="2">
        <f t="shared" si="6"/>
        <v>0.0003720299968</v>
      </c>
      <c r="M1366" s="2">
        <f t="shared" si="7"/>
        <v>0.4311827663</v>
      </c>
      <c r="N1366" s="2">
        <f t="shared" si="8"/>
        <v>0.05866007828</v>
      </c>
      <c r="O1366" s="2"/>
      <c r="P1366" s="4"/>
      <c r="Q1366" s="4"/>
      <c r="R1366" s="4"/>
    </row>
    <row r="1367" ht="14.25" customHeight="1">
      <c r="K1367" s="2">
        <v>0.01365</v>
      </c>
      <c r="L1367" s="2">
        <f t="shared" si="6"/>
        <v>0.0003725755937</v>
      </c>
      <c r="M1367" s="2">
        <f t="shared" si="7"/>
        <v>0.4318151131</v>
      </c>
      <c r="N1367" s="2">
        <f t="shared" si="8"/>
        <v>0.05872898925</v>
      </c>
      <c r="O1367" s="2"/>
      <c r="P1367" s="4"/>
      <c r="Q1367" s="4"/>
      <c r="R1367" s="4"/>
    </row>
    <row r="1368" ht="14.25" customHeight="1">
      <c r="K1368" s="2">
        <v>0.01366</v>
      </c>
      <c r="L1368" s="2">
        <f t="shared" si="6"/>
        <v>0.0003731215901</v>
      </c>
      <c r="M1368" s="2">
        <f t="shared" si="7"/>
        <v>0.432447923</v>
      </c>
      <c r="N1368" s="2">
        <f t="shared" si="8"/>
        <v>0.05879795714</v>
      </c>
      <c r="O1368" s="2"/>
      <c r="P1368" s="4"/>
      <c r="Q1368" s="4"/>
      <c r="R1368" s="4"/>
    </row>
    <row r="1369" ht="14.25" customHeight="1">
      <c r="K1369" s="2">
        <v>0.01367</v>
      </c>
      <c r="L1369" s="2">
        <f t="shared" si="6"/>
        <v>0.0003736679861</v>
      </c>
      <c r="M1369" s="2">
        <f t="shared" si="7"/>
        <v>0.4330811959</v>
      </c>
      <c r="N1369" s="2">
        <f t="shared" si="8"/>
        <v>0.05886698198</v>
      </c>
      <c r="O1369" s="2"/>
      <c r="P1369" s="4"/>
      <c r="Q1369" s="4"/>
      <c r="R1369" s="4"/>
    </row>
    <row r="1370" ht="14.25" customHeight="1">
      <c r="K1370" s="2">
        <v>0.01368</v>
      </c>
      <c r="L1370" s="2">
        <f t="shared" si="6"/>
        <v>0.0003742147816</v>
      </c>
      <c r="M1370" s="2">
        <f t="shared" si="7"/>
        <v>0.4337149319</v>
      </c>
      <c r="N1370" s="2">
        <f t="shared" si="8"/>
        <v>0.05893606382</v>
      </c>
      <c r="O1370" s="2"/>
      <c r="P1370" s="4"/>
      <c r="Q1370" s="4"/>
      <c r="R1370" s="4"/>
    </row>
    <row r="1371" ht="14.25" customHeight="1">
      <c r="K1371" s="2">
        <v>0.01369</v>
      </c>
      <c r="L1371" s="2">
        <f t="shared" si="6"/>
        <v>0.0003747619767</v>
      </c>
      <c r="M1371" s="2">
        <f t="shared" si="7"/>
        <v>0.434349131</v>
      </c>
      <c r="N1371" s="2">
        <f t="shared" si="8"/>
        <v>0.05900520269</v>
      </c>
      <c r="O1371" s="2"/>
      <c r="P1371" s="4"/>
      <c r="Q1371" s="4"/>
      <c r="R1371" s="4"/>
    </row>
    <row r="1372" ht="14.25" customHeight="1">
      <c r="K1372" s="2">
        <v>0.0137</v>
      </c>
      <c r="L1372" s="2">
        <f t="shared" si="6"/>
        <v>0.0003753095714</v>
      </c>
      <c r="M1372" s="2">
        <f t="shared" si="7"/>
        <v>0.4349837932</v>
      </c>
      <c r="N1372" s="2">
        <f t="shared" si="8"/>
        <v>0.05907439865</v>
      </c>
      <c r="O1372" s="2"/>
      <c r="P1372" s="4"/>
      <c r="Q1372" s="4"/>
      <c r="R1372" s="4"/>
    </row>
    <row r="1373" ht="14.25" customHeight="1">
      <c r="K1373" s="2">
        <v>0.01371</v>
      </c>
      <c r="L1373" s="2">
        <f t="shared" si="6"/>
        <v>0.0003758575655</v>
      </c>
      <c r="M1373" s="2">
        <f t="shared" si="7"/>
        <v>0.4356189185</v>
      </c>
      <c r="N1373" s="2">
        <f t="shared" si="8"/>
        <v>0.05914365172</v>
      </c>
      <c r="O1373" s="2"/>
      <c r="P1373" s="4"/>
      <c r="Q1373" s="4"/>
      <c r="R1373" s="4"/>
    </row>
    <row r="1374" ht="14.25" customHeight="1">
      <c r="K1374" s="2">
        <v>0.01372</v>
      </c>
      <c r="L1374" s="2">
        <f t="shared" si="6"/>
        <v>0.0003764059593</v>
      </c>
      <c r="M1374" s="2">
        <f t="shared" si="7"/>
        <v>0.4362545068</v>
      </c>
      <c r="N1374" s="2">
        <f t="shared" si="8"/>
        <v>0.05921296195</v>
      </c>
      <c r="O1374" s="2"/>
      <c r="P1374" s="4"/>
      <c r="Q1374" s="4"/>
      <c r="R1374" s="4"/>
    </row>
    <row r="1375" ht="14.25" customHeight="1">
      <c r="K1375" s="2">
        <v>0.01373</v>
      </c>
      <c r="L1375" s="2">
        <f t="shared" si="6"/>
        <v>0.0003769547526</v>
      </c>
      <c r="M1375" s="2">
        <f t="shared" si="7"/>
        <v>0.4368905582</v>
      </c>
      <c r="N1375" s="2">
        <f t="shared" si="8"/>
        <v>0.05928232939</v>
      </c>
      <c r="O1375" s="2"/>
      <c r="P1375" s="4"/>
      <c r="Q1375" s="4"/>
      <c r="R1375" s="4"/>
    </row>
    <row r="1376" ht="14.25" customHeight="1">
      <c r="K1376" s="2">
        <v>0.01374</v>
      </c>
      <c r="L1376" s="2">
        <f t="shared" si="6"/>
        <v>0.0003775039454</v>
      </c>
      <c r="M1376" s="2">
        <f t="shared" si="7"/>
        <v>0.4375270727</v>
      </c>
      <c r="N1376" s="2">
        <f t="shared" si="8"/>
        <v>0.05935175408</v>
      </c>
      <c r="O1376" s="2"/>
      <c r="P1376" s="4"/>
      <c r="Q1376" s="4"/>
      <c r="R1376" s="4"/>
    </row>
    <row r="1377" ht="14.25" customHeight="1">
      <c r="K1377" s="2">
        <v>0.01375</v>
      </c>
      <c r="L1377" s="2">
        <f t="shared" si="6"/>
        <v>0.0003780535378</v>
      </c>
      <c r="M1377" s="2">
        <f t="shared" si="7"/>
        <v>0.4381640503</v>
      </c>
      <c r="N1377" s="2">
        <f t="shared" si="8"/>
        <v>0.05942123605</v>
      </c>
      <c r="O1377" s="2"/>
      <c r="P1377" s="4"/>
      <c r="Q1377" s="4"/>
      <c r="R1377" s="4"/>
    </row>
    <row r="1378" ht="14.25" customHeight="1">
      <c r="K1378" s="2">
        <v>0.01376</v>
      </c>
      <c r="L1378" s="2">
        <f t="shared" si="6"/>
        <v>0.0003786035297</v>
      </c>
      <c r="M1378" s="2">
        <f t="shared" si="7"/>
        <v>0.4388014909</v>
      </c>
      <c r="N1378" s="2">
        <f t="shared" si="8"/>
        <v>0.05949077534</v>
      </c>
      <c r="O1378" s="2"/>
      <c r="P1378" s="4"/>
      <c r="Q1378" s="4"/>
      <c r="R1378" s="4"/>
    </row>
    <row r="1379" ht="14.25" customHeight="1">
      <c r="K1379" s="2">
        <v>0.01377</v>
      </c>
      <c r="L1379" s="2">
        <f t="shared" si="6"/>
        <v>0.0003791539212</v>
      </c>
      <c r="M1379" s="2">
        <f t="shared" si="7"/>
        <v>0.4394393946</v>
      </c>
      <c r="N1379" s="2">
        <f t="shared" si="8"/>
        <v>0.05956037201</v>
      </c>
      <c r="O1379" s="2"/>
      <c r="P1379" s="4"/>
      <c r="Q1379" s="4"/>
      <c r="R1379" s="4"/>
    </row>
    <row r="1380" ht="14.25" customHeight="1">
      <c r="K1380" s="2">
        <v>0.01378</v>
      </c>
      <c r="L1380" s="2">
        <f t="shared" si="6"/>
        <v>0.0003797047122</v>
      </c>
      <c r="M1380" s="2">
        <f t="shared" si="7"/>
        <v>0.4400777614</v>
      </c>
      <c r="N1380" s="2">
        <f t="shared" si="8"/>
        <v>0.05963002609</v>
      </c>
      <c r="O1380" s="2"/>
      <c r="P1380" s="4"/>
      <c r="Q1380" s="4"/>
      <c r="R1380" s="4"/>
    </row>
    <row r="1381" ht="14.25" customHeight="1">
      <c r="K1381" s="2">
        <v>0.01379</v>
      </c>
      <c r="L1381" s="2">
        <f t="shared" si="6"/>
        <v>0.0003802559027</v>
      </c>
      <c r="M1381" s="2">
        <f t="shared" si="7"/>
        <v>0.4407165913</v>
      </c>
      <c r="N1381" s="2">
        <f t="shared" si="8"/>
        <v>0.05969973762</v>
      </c>
      <c r="O1381" s="2"/>
      <c r="P1381" s="4"/>
      <c r="Q1381" s="4"/>
      <c r="R1381" s="4"/>
    </row>
    <row r="1382" ht="14.25" customHeight="1">
      <c r="K1382" s="2">
        <v>0.0138</v>
      </c>
      <c r="L1382" s="2">
        <f t="shared" si="6"/>
        <v>0.0003808074928</v>
      </c>
      <c r="M1382" s="2">
        <f t="shared" si="7"/>
        <v>0.4413558842</v>
      </c>
      <c r="N1382" s="2">
        <f t="shared" si="8"/>
        <v>0.05976950665</v>
      </c>
      <c r="O1382" s="2"/>
      <c r="P1382" s="4"/>
      <c r="Q1382" s="4"/>
      <c r="R1382" s="4"/>
    </row>
    <row r="1383" ht="14.25" customHeight="1">
      <c r="K1383" s="2">
        <v>0.01381</v>
      </c>
      <c r="L1383" s="2">
        <f t="shared" si="6"/>
        <v>0.0003813594825</v>
      </c>
      <c r="M1383" s="2">
        <f t="shared" si="7"/>
        <v>0.4419956402</v>
      </c>
      <c r="N1383" s="2">
        <f t="shared" si="8"/>
        <v>0.05983933321</v>
      </c>
      <c r="O1383" s="2"/>
      <c r="P1383" s="4"/>
      <c r="Q1383" s="4"/>
      <c r="R1383" s="4"/>
    </row>
    <row r="1384" ht="14.25" customHeight="1">
      <c r="K1384" s="2">
        <v>0.01382</v>
      </c>
      <c r="L1384" s="2">
        <f t="shared" si="6"/>
        <v>0.0003819118717</v>
      </c>
      <c r="M1384" s="2">
        <f t="shared" si="7"/>
        <v>0.4426358593</v>
      </c>
      <c r="N1384" s="2">
        <f t="shared" si="8"/>
        <v>0.05990921735</v>
      </c>
      <c r="O1384" s="2"/>
      <c r="P1384" s="4"/>
      <c r="Q1384" s="4"/>
      <c r="R1384" s="4"/>
    </row>
    <row r="1385" ht="14.25" customHeight="1">
      <c r="K1385" s="2">
        <v>0.01383</v>
      </c>
      <c r="L1385" s="2">
        <f t="shared" si="6"/>
        <v>0.0003824646604</v>
      </c>
      <c r="M1385" s="2">
        <f t="shared" si="7"/>
        <v>0.4432765414</v>
      </c>
      <c r="N1385" s="2">
        <f t="shared" si="8"/>
        <v>0.0599791591</v>
      </c>
      <c r="O1385" s="2"/>
      <c r="P1385" s="4"/>
      <c r="Q1385" s="4"/>
      <c r="R1385" s="4"/>
    </row>
    <row r="1386" ht="14.25" customHeight="1">
      <c r="K1386" s="2">
        <v>0.01384</v>
      </c>
      <c r="L1386" s="2">
        <f t="shared" si="6"/>
        <v>0.0003830178487</v>
      </c>
      <c r="M1386" s="2">
        <f t="shared" si="7"/>
        <v>0.4439176866</v>
      </c>
      <c r="N1386" s="2">
        <f t="shared" si="8"/>
        <v>0.06004915852</v>
      </c>
      <c r="O1386" s="2"/>
      <c r="P1386" s="4"/>
      <c r="Q1386" s="4"/>
      <c r="R1386" s="4"/>
    </row>
    <row r="1387" ht="14.25" customHeight="1">
      <c r="K1387" s="2">
        <v>0.01385</v>
      </c>
      <c r="L1387" s="2">
        <f t="shared" si="6"/>
        <v>0.0003835714365</v>
      </c>
      <c r="M1387" s="2">
        <f t="shared" si="7"/>
        <v>0.4445592949</v>
      </c>
      <c r="N1387" s="2">
        <f t="shared" si="8"/>
        <v>0.06011921564</v>
      </c>
      <c r="O1387" s="2"/>
      <c r="P1387" s="4"/>
      <c r="Q1387" s="4"/>
      <c r="R1387" s="4"/>
    </row>
    <row r="1388" ht="14.25" customHeight="1">
      <c r="K1388" s="2">
        <v>0.01386</v>
      </c>
      <c r="L1388" s="2">
        <f t="shared" si="6"/>
        <v>0.0003841254238</v>
      </c>
      <c r="M1388" s="2">
        <f t="shared" si="7"/>
        <v>0.4452013662</v>
      </c>
      <c r="N1388" s="2">
        <f t="shared" si="8"/>
        <v>0.0601893305</v>
      </c>
      <c r="O1388" s="2"/>
      <c r="P1388" s="4"/>
      <c r="Q1388" s="4"/>
      <c r="R1388" s="4"/>
    </row>
    <row r="1389" ht="14.25" customHeight="1">
      <c r="K1389" s="2">
        <v>0.01387</v>
      </c>
      <c r="L1389" s="2">
        <f t="shared" si="6"/>
        <v>0.0003846798107</v>
      </c>
      <c r="M1389" s="2">
        <f t="shared" si="7"/>
        <v>0.4458439006</v>
      </c>
      <c r="N1389" s="2">
        <f t="shared" si="8"/>
        <v>0.06025950315</v>
      </c>
      <c r="O1389" s="2"/>
      <c r="P1389" s="4"/>
      <c r="Q1389" s="4"/>
      <c r="R1389" s="4"/>
    </row>
    <row r="1390" ht="14.25" customHeight="1">
      <c r="K1390" s="2">
        <v>0.01388</v>
      </c>
      <c r="L1390" s="2">
        <f t="shared" si="6"/>
        <v>0.0003852345972</v>
      </c>
      <c r="M1390" s="2">
        <f t="shared" si="7"/>
        <v>0.4464868981</v>
      </c>
      <c r="N1390" s="2">
        <f t="shared" si="8"/>
        <v>0.06032973362</v>
      </c>
      <c r="O1390" s="2"/>
      <c r="P1390" s="4"/>
      <c r="Q1390" s="4"/>
      <c r="R1390" s="4"/>
    </row>
    <row r="1391" ht="14.25" customHeight="1">
      <c r="K1391" s="2">
        <v>0.01389</v>
      </c>
      <c r="L1391" s="2">
        <f t="shared" si="6"/>
        <v>0.0003857897831</v>
      </c>
      <c r="M1391" s="2">
        <f t="shared" si="7"/>
        <v>0.4471303586</v>
      </c>
      <c r="N1391" s="2">
        <f t="shared" si="8"/>
        <v>0.06040002196</v>
      </c>
      <c r="O1391" s="2"/>
      <c r="P1391" s="4"/>
      <c r="Q1391" s="4"/>
      <c r="R1391" s="4"/>
    </row>
    <row r="1392" ht="14.25" customHeight="1">
      <c r="K1392" s="2">
        <v>0.0139</v>
      </c>
      <c r="L1392" s="2">
        <f t="shared" si="6"/>
        <v>0.0003863453686</v>
      </c>
      <c r="M1392" s="2">
        <f t="shared" si="7"/>
        <v>0.4477742822</v>
      </c>
      <c r="N1392" s="2">
        <f t="shared" si="8"/>
        <v>0.06047036821</v>
      </c>
      <c r="O1392" s="2"/>
      <c r="P1392" s="4"/>
      <c r="Q1392" s="4"/>
      <c r="R1392" s="4"/>
    </row>
    <row r="1393" ht="14.25" customHeight="1">
      <c r="K1393" s="2">
        <v>0.01391</v>
      </c>
      <c r="L1393" s="2">
        <f t="shared" si="6"/>
        <v>0.0003869013537</v>
      </c>
      <c r="M1393" s="2">
        <f t="shared" si="7"/>
        <v>0.4484186689</v>
      </c>
      <c r="N1393" s="2">
        <f t="shared" si="8"/>
        <v>0.06054077241</v>
      </c>
      <c r="O1393" s="2"/>
      <c r="P1393" s="4"/>
      <c r="Q1393" s="4"/>
      <c r="R1393" s="4"/>
    </row>
    <row r="1394" ht="14.25" customHeight="1">
      <c r="K1394" s="2">
        <v>0.01392</v>
      </c>
      <c r="L1394" s="2">
        <f t="shared" si="6"/>
        <v>0.0003874577383</v>
      </c>
      <c r="M1394" s="2">
        <f t="shared" si="7"/>
        <v>0.4490635186</v>
      </c>
      <c r="N1394" s="2">
        <f t="shared" si="8"/>
        <v>0.0606112346</v>
      </c>
      <c r="O1394" s="2"/>
      <c r="P1394" s="4"/>
      <c r="Q1394" s="4"/>
      <c r="R1394" s="4"/>
    </row>
    <row r="1395" ht="14.25" customHeight="1">
      <c r="K1395" s="2">
        <v>0.01393</v>
      </c>
      <c r="L1395" s="2">
        <f t="shared" si="6"/>
        <v>0.0003880145224</v>
      </c>
      <c r="M1395" s="2">
        <f t="shared" si="7"/>
        <v>0.4497088314</v>
      </c>
      <c r="N1395" s="2">
        <f t="shared" si="8"/>
        <v>0.06068175483</v>
      </c>
      <c r="O1395" s="2"/>
      <c r="P1395" s="4"/>
      <c r="Q1395" s="4"/>
      <c r="R1395" s="4"/>
    </row>
    <row r="1396" ht="14.25" customHeight="1">
      <c r="K1396" s="2">
        <v>0.01394</v>
      </c>
      <c r="L1396" s="2">
        <f t="shared" si="6"/>
        <v>0.000388571706</v>
      </c>
      <c r="M1396" s="2">
        <f t="shared" si="7"/>
        <v>0.4503546073</v>
      </c>
      <c r="N1396" s="2">
        <f t="shared" si="8"/>
        <v>0.06075233314</v>
      </c>
      <c r="O1396" s="2"/>
      <c r="P1396" s="4"/>
      <c r="Q1396" s="4"/>
      <c r="R1396" s="4"/>
    </row>
    <row r="1397" ht="14.25" customHeight="1">
      <c r="K1397" s="2">
        <v>0.01395</v>
      </c>
      <c r="L1397" s="2">
        <f t="shared" si="6"/>
        <v>0.0003891292892</v>
      </c>
      <c r="M1397" s="2">
        <f t="shared" si="7"/>
        <v>0.4510008462</v>
      </c>
      <c r="N1397" s="2">
        <f t="shared" si="8"/>
        <v>0.06082296956</v>
      </c>
      <c r="O1397" s="2"/>
      <c r="P1397" s="4"/>
      <c r="Q1397" s="4"/>
      <c r="R1397" s="4"/>
    </row>
    <row r="1398" ht="14.25" customHeight="1">
      <c r="K1398" s="2">
        <v>0.01396</v>
      </c>
      <c r="L1398" s="2">
        <f t="shared" si="6"/>
        <v>0.0003896872719</v>
      </c>
      <c r="M1398" s="2">
        <f t="shared" si="7"/>
        <v>0.4516475481</v>
      </c>
      <c r="N1398" s="2">
        <f t="shared" si="8"/>
        <v>0.06089366413</v>
      </c>
      <c r="O1398" s="2"/>
      <c r="P1398" s="4"/>
      <c r="Q1398" s="4"/>
      <c r="R1398" s="4"/>
    </row>
    <row r="1399" ht="14.25" customHeight="1">
      <c r="K1399" s="2">
        <v>0.01397</v>
      </c>
      <c r="L1399" s="2">
        <f t="shared" si="6"/>
        <v>0.0003902456542</v>
      </c>
      <c r="M1399" s="2">
        <f t="shared" si="7"/>
        <v>0.4522947132</v>
      </c>
      <c r="N1399" s="2">
        <f t="shared" si="8"/>
        <v>0.06096441691</v>
      </c>
      <c r="O1399" s="2"/>
      <c r="P1399" s="4"/>
      <c r="Q1399" s="4"/>
      <c r="R1399" s="4"/>
    </row>
    <row r="1400" ht="14.25" customHeight="1">
      <c r="K1400" s="2">
        <v>0.01398</v>
      </c>
      <c r="L1400" s="2">
        <f t="shared" si="6"/>
        <v>0.0003908044359</v>
      </c>
      <c r="M1400" s="2">
        <f t="shared" si="7"/>
        <v>0.4529423413</v>
      </c>
      <c r="N1400" s="2">
        <f t="shared" si="8"/>
        <v>0.06103522793</v>
      </c>
      <c r="O1400" s="2"/>
      <c r="P1400" s="4"/>
      <c r="Q1400" s="4"/>
      <c r="R1400" s="4"/>
    </row>
    <row r="1401" ht="14.25" customHeight="1">
      <c r="K1401" s="2">
        <v>0.01399</v>
      </c>
      <c r="L1401" s="2">
        <f t="shared" si="6"/>
        <v>0.0003913636173</v>
      </c>
      <c r="M1401" s="2">
        <f t="shared" si="7"/>
        <v>0.4535904324</v>
      </c>
      <c r="N1401" s="2">
        <f t="shared" si="8"/>
        <v>0.06110609724</v>
      </c>
      <c r="O1401" s="2"/>
      <c r="P1401" s="4"/>
      <c r="Q1401" s="4"/>
      <c r="R1401" s="4"/>
    </row>
    <row r="1402" ht="14.25" customHeight="1">
      <c r="K1402" s="2">
        <v>0.014</v>
      </c>
      <c r="L1402" s="2">
        <f t="shared" si="6"/>
        <v>0.0003919231981</v>
      </c>
      <c r="M1402" s="2">
        <f t="shared" si="7"/>
        <v>0.4542389866</v>
      </c>
      <c r="N1402" s="2">
        <f t="shared" si="8"/>
        <v>0.06117702487</v>
      </c>
      <c r="O1402" s="2"/>
      <c r="P1402" s="4"/>
      <c r="Q1402" s="4"/>
      <c r="R1402" s="4"/>
    </row>
    <row r="1403" ht="14.25" customHeight="1">
      <c r="K1403" s="2">
        <v>0.01401</v>
      </c>
      <c r="L1403" s="2">
        <f t="shared" si="6"/>
        <v>0.0003924831785</v>
      </c>
      <c r="M1403" s="2">
        <f t="shared" si="7"/>
        <v>0.4548880039</v>
      </c>
      <c r="N1403" s="2">
        <f t="shared" si="8"/>
        <v>0.06124801086</v>
      </c>
      <c r="O1403" s="2"/>
      <c r="P1403" s="4"/>
      <c r="Q1403" s="4"/>
      <c r="R1403" s="4"/>
    </row>
    <row r="1404" ht="14.25" customHeight="1">
      <c r="K1404" s="2">
        <v>0.01402</v>
      </c>
      <c r="L1404" s="2">
        <f t="shared" si="6"/>
        <v>0.0003930435584</v>
      </c>
      <c r="M1404" s="2">
        <f t="shared" si="7"/>
        <v>0.4555374842</v>
      </c>
      <c r="N1404" s="2">
        <f t="shared" si="8"/>
        <v>0.06131905526</v>
      </c>
      <c r="O1404" s="2"/>
      <c r="P1404" s="4"/>
      <c r="Q1404" s="4"/>
      <c r="R1404" s="4"/>
    </row>
    <row r="1405" ht="14.25" customHeight="1">
      <c r="K1405" s="2">
        <v>0.01403</v>
      </c>
      <c r="L1405" s="2">
        <f t="shared" si="6"/>
        <v>0.0003936043378</v>
      </c>
      <c r="M1405" s="2">
        <f t="shared" si="7"/>
        <v>0.4561874275</v>
      </c>
      <c r="N1405" s="2">
        <f t="shared" si="8"/>
        <v>0.06139015812</v>
      </c>
      <c r="O1405" s="2"/>
      <c r="P1405" s="4"/>
      <c r="Q1405" s="4"/>
      <c r="R1405" s="4"/>
    </row>
    <row r="1406" ht="14.25" customHeight="1">
      <c r="K1406" s="2">
        <v>0.01404</v>
      </c>
      <c r="L1406" s="2">
        <f t="shared" si="6"/>
        <v>0.0003941655168</v>
      </c>
      <c r="M1406" s="2">
        <f t="shared" si="7"/>
        <v>0.4568378339</v>
      </c>
      <c r="N1406" s="2">
        <f t="shared" si="8"/>
        <v>0.06146131946</v>
      </c>
      <c r="O1406" s="2"/>
      <c r="P1406" s="4"/>
      <c r="Q1406" s="4"/>
      <c r="R1406" s="4"/>
    </row>
    <row r="1407" ht="14.25" customHeight="1">
      <c r="K1407" s="2">
        <v>0.01405</v>
      </c>
      <c r="L1407" s="2">
        <f t="shared" si="6"/>
        <v>0.0003947270953</v>
      </c>
      <c r="M1407" s="2">
        <f t="shared" si="7"/>
        <v>0.4574887034</v>
      </c>
      <c r="N1407" s="2">
        <f t="shared" si="8"/>
        <v>0.06153253933</v>
      </c>
      <c r="O1407" s="2"/>
      <c r="P1407" s="4"/>
      <c r="Q1407" s="4"/>
      <c r="R1407" s="4"/>
    </row>
    <row r="1408" ht="14.25" customHeight="1">
      <c r="K1408" s="2">
        <v>0.01406</v>
      </c>
      <c r="L1408" s="2">
        <f t="shared" si="6"/>
        <v>0.0003952890733</v>
      </c>
      <c r="M1408" s="2">
        <f t="shared" si="7"/>
        <v>0.4581400359</v>
      </c>
      <c r="N1408" s="2">
        <f t="shared" si="8"/>
        <v>0.06160381778</v>
      </c>
      <c r="O1408" s="2"/>
      <c r="P1408" s="4"/>
      <c r="Q1408" s="4"/>
      <c r="R1408" s="4"/>
    </row>
    <row r="1409" ht="14.25" customHeight="1">
      <c r="K1409" s="2">
        <v>0.01407</v>
      </c>
      <c r="L1409" s="2">
        <f t="shared" si="6"/>
        <v>0.0003958514508</v>
      </c>
      <c r="M1409" s="2">
        <f t="shared" si="7"/>
        <v>0.4587918315</v>
      </c>
      <c r="N1409" s="2">
        <f t="shared" si="8"/>
        <v>0.06167515485</v>
      </c>
      <c r="O1409" s="2"/>
      <c r="P1409" s="4"/>
      <c r="Q1409" s="4"/>
      <c r="R1409" s="4"/>
    </row>
    <row r="1410" ht="14.25" customHeight="1">
      <c r="K1410" s="2">
        <v>0.01408</v>
      </c>
      <c r="L1410" s="2">
        <f t="shared" si="6"/>
        <v>0.0003964142279</v>
      </c>
      <c r="M1410" s="2">
        <f t="shared" si="7"/>
        <v>0.4594440901</v>
      </c>
      <c r="N1410" s="2">
        <f t="shared" si="8"/>
        <v>0.06174655057</v>
      </c>
      <c r="O1410" s="2"/>
      <c r="P1410" s="4"/>
      <c r="Q1410" s="4"/>
      <c r="R1410" s="4"/>
    </row>
    <row r="1411" ht="14.25" customHeight="1">
      <c r="K1411" s="2">
        <v>0.01409</v>
      </c>
      <c r="L1411" s="2">
        <f t="shared" si="6"/>
        <v>0.0003969774045</v>
      </c>
      <c r="M1411" s="2">
        <f t="shared" si="7"/>
        <v>0.4600968118</v>
      </c>
      <c r="N1411" s="2">
        <f t="shared" si="8"/>
        <v>0.06181800499</v>
      </c>
      <c r="O1411" s="2"/>
      <c r="P1411" s="4"/>
      <c r="Q1411" s="4"/>
      <c r="R1411" s="4"/>
    </row>
    <row r="1412" ht="14.25" customHeight="1">
      <c r="K1412" s="2">
        <v>0.0141</v>
      </c>
      <c r="L1412" s="2">
        <f t="shared" si="6"/>
        <v>0.0003975409806</v>
      </c>
      <c r="M1412" s="2">
        <f t="shared" si="7"/>
        <v>0.4607499965</v>
      </c>
      <c r="N1412" s="2">
        <f t="shared" si="8"/>
        <v>0.06188951815</v>
      </c>
      <c r="O1412" s="2"/>
      <c r="P1412" s="4"/>
      <c r="Q1412" s="4"/>
      <c r="R1412" s="4"/>
    </row>
    <row r="1413" ht="14.25" customHeight="1">
      <c r="K1413" s="2">
        <v>0.01411</v>
      </c>
      <c r="L1413" s="2">
        <f t="shared" si="6"/>
        <v>0.0003981049562</v>
      </c>
      <c r="M1413" s="2">
        <f t="shared" si="7"/>
        <v>0.4614036443</v>
      </c>
      <c r="N1413" s="2">
        <f t="shared" si="8"/>
        <v>0.06196109009</v>
      </c>
      <c r="O1413" s="2"/>
      <c r="P1413" s="4"/>
      <c r="Q1413" s="4"/>
      <c r="R1413" s="4"/>
    </row>
    <row r="1414" ht="14.25" customHeight="1">
      <c r="K1414" s="2">
        <v>0.01412</v>
      </c>
      <c r="L1414" s="2">
        <f t="shared" si="6"/>
        <v>0.0003986693314</v>
      </c>
      <c r="M1414" s="2">
        <f t="shared" si="7"/>
        <v>0.4620577551</v>
      </c>
      <c r="N1414" s="2">
        <f t="shared" si="8"/>
        <v>0.06203272085</v>
      </c>
      <c r="O1414" s="2"/>
      <c r="P1414" s="4"/>
      <c r="Q1414" s="4"/>
      <c r="R1414" s="4"/>
    </row>
    <row r="1415" ht="14.25" customHeight="1">
      <c r="K1415" s="2">
        <v>0.01413</v>
      </c>
      <c r="L1415" s="2">
        <f t="shared" si="6"/>
        <v>0.0003992341061</v>
      </c>
      <c r="M1415" s="2">
        <f t="shared" si="7"/>
        <v>0.4627123289</v>
      </c>
      <c r="N1415" s="2">
        <f t="shared" si="8"/>
        <v>0.06210441048</v>
      </c>
      <c r="O1415" s="2"/>
      <c r="P1415" s="4"/>
      <c r="Q1415" s="4"/>
      <c r="R1415" s="4"/>
    </row>
    <row r="1416" ht="14.25" customHeight="1">
      <c r="K1416" s="2">
        <v>0.01414</v>
      </c>
      <c r="L1416" s="2">
        <f t="shared" si="6"/>
        <v>0.0003997992803</v>
      </c>
      <c r="M1416" s="2">
        <f t="shared" si="7"/>
        <v>0.4633673658</v>
      </c>
      <c r="N1416" s="2">
        <f t="shared" si="8"/>
        <v>0.06217615902</v>
      </c>
      <c r="O1416" s="2"/>
      <c r="P1416" s="4"/>
      <c r="Q1416" s="4"/>
      <c r="R1416" s="4"/>
    </row>
    <row r="1417" ht="14.25" customHeight="1">
      <c r="K1417" s="2">
        <v>0.01415</v>
      </c>
      <c r="L1417" s="2">
        <f t="shared" si="6"/>
        <v>0.000400364854</v>
      </c>
      <c r="M1417" s="2">
        <f t="shared" si="7"/>
        <v>0.4640228658</v>
      </c>
      <c r="N1417" s="2">
        <f t="shared" si="8"/>
        <v>0.0622479665</v>
      </c>
      <c r="O1417" s="2"/>
      <c r="P1417" s="4"/>
      <c r="Q1417" s="4"/>
      <c r="R1417" s="4"/>
    </row>
    <row r="1418" ht="14.25" customHeight="1">
      <c r="K1418" s="2">
        <v>0.01416</v>
      </c>
      <c r="L1418" s="2">
        <f t="shared" si="6"/>
        <v>0.0004009308272</v>
      </c>
      <c r="M1418" s="2">
        <f t="shared" si="7"/>
        <v>0.4646788288</v>
      </c>
      <c r="N1418" s="2">
        <f t="shared" si="8"/>
        <v>0.06231983297</v>
      </c>
      <c r="O1418" s="2"/>
      <c r="P1418" s="4"/>
      <c r="Q1418" s="4"/>
      <c r="R1418" s="4"/>
    </row>
    <row r="1419" ht="14.25" customHeight="1">
      <c r="K1419" s="2">
        <v>0.01417</v>
      </c>
      <c r="L1419" s="2">
        <f t="shared" si="6"/>
        <v>0.0004014972</v>
      </c>
      <c r="M1419" s="2">
        <f t="shared" si="7"/>
        <v>0.4653352548</v>
      </c>
      <c r="N1419" s="2">
        <f t="shared" si="8"/>
        <v>0.06239175847</v>
      </c>
      <c r="O1419" s="2"/>
      <c r="P1419" s="4"/>
      <c r="Q1419" s="4"/>
      <c r="R1419" s="4"/>
    </row>
    <row r="1420" ht="14.25" customHeight="1">
      <c r="K1420" s="2">
        <v>0.01418</v>
      </c>
      <c r="L1420" s="2">
        <f t="shared" si="6"/>
        <v>0.0004020639723</v>
      </c>
      <c r="M1420" s="2">
        <f t="shared" si="7"/>
        <v>0.4659921439</v>
      </c>
      <c r="N1420" s="2">
        <f t="shared" si="8"/>
        <v>0.06246374305</v>
      </c>
      <c r="O1420" s="2"/>
      <c r="P1420" s="4"/>
      <c r="Q1420" s="4"/>
      <c r="R1420" s="4"/>
    </row>
    <row r="1421" ht="14.25" customHeight="1">
      <c r="K1421" s="2">
        <v>0.01419</v>
      </c>
      <c r="L1421" s="2">
        <f t="shared" si="6"/>
        <v>0.0004026311441</v>
      </c>
      <c r="M1421" s="2">
        <f t="shared" si="7"/>
        <v>0.466649496</v>
      </c>
      <c r="N1421" s="2">
        <f t="shared" si="8"/>
        <v>0.06253578673</v>
      </c>
      <c r="O1421" s="2"/>
      <c r="P1421" s="4"/>
      <c r="Q1421" s="4"/>
      <c r="R1421" s="4"/>
    </row>
    <row r="1422" ht="14.25" customHeight="1">
      <c r="K1422" s="2">
        <v>0.0142</v>
      </c>
      <c r="L1422" s="2">
        <f t="shared" si="6"/>
        <v>0.0004031987154</v>
      </c>
      <c r="M1422" s="2">
        <f t="shared" si="7"/>
        <v>0.4673073111</v>
      </c>
      <c r="N1422" s="2">
        <f t="shared" si="8"/>
        <v>0.06260788958</v>
      </c>
      <c r="O1422" s="2"/>
      <c r="P1422" s="4"/>
      <c r="Q1422" s="4"/>
      <c r="R1422" s="4"/>
    </row>
    <row r="1423" ht="14.25" customHeight="1">
      <c r="K1423" s="2">
        <v>0.01421</v>
      </c>
      <c r="L1423" s="2">
        <f t="shared" si="6"/>
        <v>0.0004037666862</v>
      </c>
      <c r="M1423" s="2">
        <f t="shared" si="7"/>
        <v>0.4679655893</v>
      </c>
      <c r="N1423" s="2">
        <f t="shared" si="8"/>
        <v>0.06268005162</v>
      </c>
      <c r="O1423" s="2"/>
      <c r="P1423" s="4"/>
      <c r="Q1423" s="4"/>
      <c r="R1423" s="4"/>
    </row>
    <row r="1424" ht="14.25" customHeight="1">
      <c r="K1424" s="2">
        <v>0.01422</v>
      </c>
      <c r="L1424" s="2">
        <f t="shared" si="6"/>
        <v>0.0004043350566</v>
      </c>
      <c r="M1424" s="2">
        <f t="shared" si="7"/>
        <v>0.4686243306</v>
      </c>
      <c r="N1424" s="2">
        <f t="shared" si="8"/>
        <v>0.06275227289</v>
      </c>
      <c r="O1424" s="2"/>
      <c r="P1424" s="4"/>
      <c r="Q1424" s="4"/>
      <c r="R1424" s="4"/>
    </row>
    <row r="1425" ht="14.25" customHeight="1">
      <c r="K1425" s="2">
        <v>0.01423</v>
      </c>
      <c r="L1425" s="2">
        <f t="shared" si="6"/>
        <v>0.0004049038264</v>
      </c>
      <c r="M1425" s="2">
        <f t="shared" si="7"/>
        <v>0.4692835349</v>
      </c>
      <c r="N1425" s="2">
        <f t="shared" si="8"/>
        <v>0.06282455345</v>
      </c>
      <c r="O1425" s="2"/>
      <c r="P1425" s="4"/>
      <c r="Q1425" s="4"/>
      <c r="R1425" s="4"/>
    </row>
    <row r="1426" ht="14.25" customHeight="1">
      <c r="K1426" s="2">
        <v>0.01424</v>
      </c>
      <c r="L1426" s="2">
        <f t="shared" si="6"/>
        <v>0.0004054729958</v>
      </c>
      <c r="M1426" s="2">
        <f t="shared" si="7"/>
        <v>0.4699432022</v>
      </c>
      <c r="N1426" s="2">
        <f t="shared" si="8"/>
        <v>0.06289689333</v>
      </c>
      <c r="O1426" s="2"/>
      <c r="P1426" s="4"/>
      <c r="Q1426" s="4"/>
      <c r="R1426" s="4"/>
    </row>
    <row r="1427" ht="14.25" customHeight="1">
      <c r="K1427" s="2">
        <v>0.01425</v>
      </c>
      <c r="L1427" s="2">
        <f t="shared" si="6"/>
        <v>0.0004060425647</v>
      </c>
      <c r="M1427" s="2">
        <f t="shared" si="7"/>
        <v>0.4706033325</v>
      </c>
      <c r="N1427" s="2">
        <f t="shared" si="8"/>
        <v>0.06296929257</v>
      </c>
      <c r="O1427" s="2"/>
      <c r="P1427" s="4"/>
      <c r="Q1427" s="4"/>
      <c r="R1427" s="4"/>
    </row>
    <row r="1428" ht="14.25" customHeight="1">
      <c r="K1428" s="2">
        <v>0.01426</v>
      </c>
      <c r="L1428" s="2">
        <f t="shared" si="6"/>
        <v>0.0004066125331</v>
      </c>
      <c r="M1428" s="2">
        <f t="shared" si="7"/>
        <v>0.4712639259</v>
      </c>
      <c r="N1428" s="2">
        <f t="shared" si="8"/>
        <v>0.06304175122</v>
      </c>
      <c r="O1428" s="2"/>
      <c r="P1428" s="4"/>
      <c r="Q1428" s="4"/>
      <c r="R1428" s="4"/>
    </row>
    <row r="1429" ht="14.25" customHeight="1">
      <c r="K1429" s="2">
        <v>0.01427</v>
      </c>
      <c r="L1429" s="2">
        <f t="shared" si="6"/>
        <v>0.000407182901</v>
      </c>
      <c r="M1429" s="2">
        <f t="shared" si="7"/>
        <v>0.4719249823</v>
      </c>
      <c r="N1429" s="2">
        <f t="shared" si="8"/>
        <v>0.06311426931</v>
      </c>
      <c r="O1429" s="2"/>
      <c r="P1429" s="4"/>
      <c r="Q1429" s="4"/>
      <c r="R1429" s="4"/>
    </row>
    <row r="1430" ht="14.25" customHeight="1">
      <c r="K1430" s="2">
        <v>0.01428</v>
      </c>
      <c r="L1430" s="2">
        <f t="shared" si="6"/>
        <v>0.0004077536685</v>
      </c>
      <c r="M1430" s="2">
        <f t="shared" si="7"/>
        <v>0.4725865018</v>
      </c>
      <c r="N1430" s="2">
        <f t="shared" si="8"/>
        <v>0.06318684689</v>
      </c>
      <c r="O1430" s="2"/>
      <c r="P1430" s="4"/>
      <c r="Q1430" s="4"/>
      <c r="R1430" s="4"/>
    </row>
    <row r="1431" ht="14.25" customHeight="1">
      <c r="K1431" s="2">
        <v>0.01429</v>
      </c>
      <c r="L1431" s="2">
        <f t="shared" si="6"/>
        <v>0.0004083248354</v>
      </c>
      <c r="M1431" s="2">
        <f t="shared" si="7"/>
        <v>0.4732484842</v>
      </c>
      <c r="N1431" s="2">
        <f t="shared" si="8"/>
        <v>0.063259484</v>
      </c>
      <c r="O1431" s="2"/>
      <c r="P1431" s="4"/>
      <c r="Q1431" s="4"/>
      <c r="R1431" s="4"/>
    </row>
    <row r="1432" ht="14.25" customHeight="1">
      <c r="K1432" s="2">
        <v>0.0143</v>
      </c>
      <c r="L1432" s="2">
        <f t="shared" si="6"/>
        <v>0.0004088964019</v>
      </c>
      <c r="M1432" s="2">
        <f t="shared" si="7"/>
        <v>0.4739109298</v>
      </c>
      <c r="N1432" s="2">
        <f t="shared" si="8"/>
        <v>0.06333218067</v>
      </c>
      <c r="O1432" s="2"/>
      <c r="P1432" s="4"/>
      <c r="Q1432" s="4"/>
      <c r="R1432" s="4"/>
    </row>
    <row r="1433" ht="14.25" customHeight="1">
      <c r="K1433" s="2">
        <v>0.01431</v>
      </c>
      <c r="L1433" s="2">
        <f t="shared" si="6"/>
        <v>0.0004094683678</v>
      </c>
      <c r="M1433" s="2">
        <f t="shared" si="7"/>
        <v>0.4745738383</v>
      </c>
      <c r="N1433" s="2">
        <f t="shared" si="8"/>
        <v>0.06340493696</v>
      </c>
      <c r="O1433" s="2"/>
      <c r="P1433" s="4"/>
      <c r="Q1433" s="4"/>
      <c r="R1433" s="4"/>
    </row>
    <row r="1434" ht="14.25" customHeight="1">
      <c r="K1434" s="2">
        <v>0.01432</v>
      </c>
      <c r="L1434" s="2">
        <f t="shared" si="6"/>
        <v>0.0004100407333</v>
      </c>
      <c r="M1434" s="2">
        <f t="shared" si="7"/>
        <v>0.4752372099</v>
      </c>
      <c r="N1434" s="2">
        <f t="shared" si="8"/>
        <v>0.06347775291</v>
      </c>
      <c r="O1434" s="2"/>
      <c r="P1434" s="4"/>
      <c r="Q1434" s="4"/>
      <c r="R1434" s="4"/>
    </row>
    <row r="1435" ht="14.25" customHeight="1">
      <c r="K1435" s="2">
        <v>0.01433</v>
      </c>
      <c r="L1435" s="2">
        <f t="shared" si="6"/>
        <v>0.0004106134983</v>
      </c>
      <c r="M1435" s="2">
        <f t="shared" si="7"/>
        <v>0.4759010445</v>
      </c>
      <c r="N1435" s="2">
        <f t="shared" si="8"/>
        <v>0.06355062855</v>
      </c>
      <c r="O1435" s="2"/>
      <c r="P1435" s="4"/>
      <c r="Q1435" s="4"/>
      <c r="R1435" s="4"/>
    </row>
    <row r="1436" ht="14.25" customHeight="1">
      <c r="K1436" s="2">
        <v>0.01434</v>
      </c>
      <c r="L1436" s="2">
        <f t="shared" si="6"/>
        <v>0.0004111866628</v>
      </c>
      <c r="M1436" s="2">
        <f t="shared" si="7"/>
        <v>0.4765653421</v>
      </c>
      <c r="N1436" s="2">
        <f t="shared" si="8"/>
        <v>0.06362356392</v>
      </c>
      <c r="O1436" s="2"/>
      <c r="P1436" s="4"/>
      <c r="Q1436" s="4"/>
      <c r="R1436" s="4"/>
    </row>
    <row r="1437" ht="14.25" customHeight="1">
      <c r="K1437" s="2">
        <v>0.01435</v>
      </c>
      <c r="L1437" s="2">
        <f t="shared" si="6"/>
        <v>0.0004117602268</v>
      </c>
      <c r="M1437" s="2">
        <f t="shared" si="7"/>
        <v>0.4772301028</v>
      </c>
      <c r="N1437" s="2">
        <f t="shared" si="8"/>
        <v>0.06369655907</v>
      </c>
      <c r="O1437" s="2"/>
      <c r="P1437" s="4"/>
      <c r="Q1437" s="4"/>
      <c r="R1437" s="4"/>
    </row>
    <row r="1438" ht="14.25" customHeight="1">
      <c r="K1438" s="2">
        <v>0.01436</v>
      </c>
      <c r="L1438" s="2">
        <f t="shared" si="6"/>
        <v>0.0004123341903</v>
      </c>
      <c r="M1438" s="2">
        <f t="shared" si="7"/>
        <v>0.4778953265</v>
      </c>
      <c r="N1438" s="2">
        <f t="shared" si="8"/>
        <v>0.06376961405</v>
      </c>
      <c r="O1438" s="2"/>
      <c r="P1438" s="4"/>
      <c r="Q1438" s="4"/>
      <c r="R1438" s="4"/>
    </row>
    <row r="1439" ht="14.25" customHeight="1">
      <c r="K1439" s="2">
        <v>0.01437</v>
      </c>
      <c r="L1439" s="2">
        <f t="shared" si="6"/>
        <v>0.0004129085533</v>
      </c>
      <c r="M1439" s="2">
        <f t="shared" si="7"/>
        <v>0.4785610132</v>
      </c>
      <c r="N1439" s="2">
        <f t="shared" si="8"/>
        <v>0.06384272888</v>
      </c>
      <c r="O1439" s="2"/>
      <c r="P1439" s="4"/>
      <c r="Q1439" s="4"/>
      <c r="R1439" s="4"/>
    </row>
    <row r="1440" ht="14.25" customHeight="1">
      <c r="K1440" s="2">
        <v>0.01438</v>
      </c>
      <c r="L1440" s="2">
        <f t="shared" si="6"/>
        <v>0.0004134833158</v>
      </c>
      <c r="M1440" s="2">
        <f t="shared" si="7"/>
        <v>0.479227163</v>
      </c>
      <c r="N1440" s="2">
        <f t="shared" si="8"/>
        <v>0.06391590362</v>
      </c>
      <c r="O1440" s="2"/>
      <c r="P1440" s="4"/>
      <c r="Q1440" s="4"/>
      <c r="R1440" s="4"/>
    </row>
    <row r="1441" ht="14.25" customHeight="1">
      <c r="K1441" s="2">
        <v>0.01439</v>
      </c>
      <c r="L1441" s="2">
        <f t="shared" si="6"/>
        <v>0.0004140584778</v>
      </c>
      <c r="M1441" s="2">
        <f t="shared" si="7"/>
        <v>0.4798937758</v>
      </c>
      <c r="N1441" s="2">
        <f t="shared" si="8"/>
        <v>0.06398913829</v>
      </c>
      <c r="O1441" s="2"/>
      <c r="P1441" s="4"/>
      <c r="Q1441" s="4"/>
      <c r="R1441" s="4"/>
    </row>
    <row r="1442" ht="14.25" customHeight="1">
      <c r="K1442" s="2">
        <v>0.0144</v>
      </c>
      <c r="L1442" s="2">
        <f t="shared" si="6"/>
        <v>0.0004146340393</v>
      </c>
      <c r="M1442" s="2">
        <f t="shared" si="7"/>
        <v>0.4805608516</v>
      </c>
      <c r="N1442" s="2">
        <f t="shared" si="8"/>
        <v>0.06406243296</v>
      </c>
      <c r="O1442" s="2"/>
      <c r="P1442" s="4"/>
      <c r="Q1442" s="4"/>
      <c r="R1442" s="4"/>
    </row>
    <row r="1443" ht="14.25" customHeight="1">
      <c r="K1443" s="2">
        <v>0.01441</v>
      </c>
      <c r="L1443" s="2">
        <f t="shared" si="6"/>
        <v>0.0004152100003</v>
      </c>
      <c r="M1443" s="2">
        <f t="shared" si="7"/>
        <v>0.4812283904</v>
      </c>
      <c r="N1443" s="2">
        <f t="shared" si="8"/>
        <v>0.06413578765</v>
      </c>
      <c r="O1443" s="2"/>
      <c r="P1443" s="4"/>
      <c r="Q1443" s="4"/>
      <c r="R1443" s="4"/>
    </row>
    <row r="1444" ht="14.25" customHeight="1">
      <c r="K1444" s="2">
        <v>0.01442</v>
      </c>
      <c r="L1444" s="2">
        <f t="shared" si="6"/>
        <v>0.0004157863609</v>
      </c>
      <c r="M1444" s="2">
        <f t="shared" si="7"/>
        <v>0.4818963922</v>
      </c>
      <c r="N1444" s="2">
        <f t="shared" si="8"/>
        <v>0.06420920241</v>
      </c>
      <c r="O1444" s="2"/>
      <c r="P1444" s="4"/>
      <c r="Q1444" s="4"/>
      <c r="R1444" s="4"/>
    </row>
    <row r="1445" ht="14.25" customHeight="1">
      <c r="K1445" s="2">
        <v>0.01443</v>
      </c>
      <c r="L1445" s="2">
        <f t="shared" si="6"/>
        <v>0.0004163631209</v>
      </c>
      <c r="M1445" s="2">
        <f t="shared" si="7"/>
        <v>0.4825648571</v>
      </c>
      <c r="N1445" s="2">
        <f t="shared" si="8"/>
        <v>0.06428267728</v>
      </c>
      <c r="O1445" s="2"/>
      <c r="P1445" s="4"/>
      <c r="Q1445" s="4"/>
      <c r="R1445" s="4"/>
    </row>
    <row r="1446" ht="14.25" customHeight="1">
      <c r="K1446" s="2">
        <v>0.01444</v>
      </c>
      <c r="L1446" s="2">
        <f t="shared" si="6"/>
        <v>0.0004169402804</v>
      </c>
      <c r="M1446" s="2">
        <f t="shared" si="7"/>
        <v>0.483233785</v>
      </c>
      <c r="N1446" s="2">
        <f t="shared" si="8"/>
        <v>0.06435621231</v>
      </c>
      <c r="O1446" s="2"/>
      <c r="P1446" s="4"/>
      <c r="Q1446" s="4"/>
      <c r="R1446" s="4"/>
    </row>
    <row r="1447" ht="14.25" customHeight="1">
      <c r="K1447" s="2">
        <v>0.01445</v>
      </c>
      <c r="L1447" s="2">
        <f t="shared" si="6"/>
        <v>0.0004175178394</v>
      </c>
      <c r="M1447" s="2">
        <f t="shared" si="7"/>
        <v>0.4839031759</v>
      </c>
      <c r="N1447" s="2">
        <f t="shared" si="8"/>
        <v>0.06442980752</v>
      </c>
      <c r="O1447" s="2"/>
      <c r="P1447" s="4"/>
      <c r="Q1447" s="4"/>
      <c r="R1447" s="4"/>
    </row>
    <row r="1448" ht="14.25" customHeight="1">
      <c r="K1448" s="2">
        <v>0.01446</v>
      </c>
      <c r="L1448" s="2">
        <f t="shared" si="6"/>
        <v>0.000418095798</v>
      </c>
      <c r="M1448" s="2">
        <f t="shared" si="7"/>
        <v>0.4845730298</v>
      </c>
      <c r="N1448" s="2">
        <f t="shared" si="8"/>
        <v>0.06450346297</v>
      </c>
      <c r="O1448" s="2"/>
      <c r="P1448" s="4"/>
      <c r="Q1448" s="4"/>
      <c r="R1448" s="4"/>
    </row>
    <row r="1449" ht="14.25" customHeight="1">
      <c r="K1449" s="2">
        <v>0.01447</v>
      </c>
      <c r="L1449" s="2">
        <f t="shared" si="6"/>
        <v>0.000418674156</v>
      </c>
      <c r="M1449" s="2">
        <f t="shared" si="7"/>
        <v>0.4852433468</v>
      </c>
      <c r="N1449" s="2">
        <f t="shared" si="8"/>
        <v>0.0645771787</v>
      </c>
      <c r="O1449" s="2"/>
      <c r="P1449" s="4"/>
      <c r="Q1449" s="4"/>
      <c r="R1449" s="4"/>
    </row>
    <row r="1450" ht="14.25" customHeight="1">
      <c r="K1450" s="2">
        <v>0.01448</v>
      </c>
      <c r="L1450" s="2">
        <f t="shared" si="6"/>
        <v>0.0004192529135</v>
      </c>
      <c r="M1450" s="2">
        <f t="shared" si="7"/>
        <v>0.4859141267</v>
      </c>
      <c r="N1450" s="2">
        <f t="shared" si="8"/>
        <v>0.06465095474</v>
      </c>
      <c r="O1450" s="2"/>
      <c r="P1450" s="4"/>
      <c r="Q1450" s="4"/>
      <c r="R1450" s="4"/>
    </row>
    <row r="1451" ht="14.25" customHeight="1">
      <c r="K1451" s="2">
        <v>0.01449</v>
      </c>
      <c r="L1451" s="2">
        <f t="shared" si="6"/>
        <v>0.0004198320705</v>
      </c>
      <c r="M1451" s="2">
        <f t="shared" si="7"/>
        <v>0.4865853697</v>
      </c>
      <c r="N1451" s="2">
        <f t="shared" si="8"/>
        <v>0.06472479115</v>
      </c>
      <c r="O1451" s="2"/>
      <c r="P1451" s="4"/>
      <c r="Q1451" s="4"/>
      <c r="R1451" s="4"/>
    </row>
    <row r="1452" ht="14.25" customHeight="1">
      <c r="K1452" s="2">
        <v>0.0145</v>
      </c>
      <c r="L1452" s="2">
        <f t="shared" si="6"/>
        <v>0.000420411627</v>
      </c>
      <c r="M1452" s="2">
        <f t="shared" si="7"/>
        <v>0.4872570757</v>
      </c>
      <c r="N1452" s="2">
        <f t="shared" si="8"/>
        <v>0.06479868795</v>
      </c>
      <c r="O1452" s="2"/>
      <c r="P1452" s="4"/>
      <c r="Q1452" s="4"/>
      <c r="R1452" s="4"/>
    </row>
    <row r="1453" ht="14.25" customHeight="1">
      <c r="K1453" s="2">
        <v>0.01451</v>
      </c>
      <c r="L1453" s="2">
        <f t="shared" si="6"/>
        <v>0.000420991583</v>
      </c>
      <c r="M1453" s="2">
        <f t="shared" si="7"/>
        <v>0.4879292447</v>
      </c>
      <c r="N1453" s="2">
        <f t="shared" si="8"/>
        <v>0.06487264519</v>
      </c>
      <c r="O1453" s="2"/>
      <c r="P1453" s="4"/>
      <c r="Q1453" s="4"/>
      <c r="R1453" s="4"/>
    </row>
    <row r="1454" ht="14.25" customHeight="1">
      <c r="K1454" s="2">
        <v>0.01452</v>
      </c>
      <c r="L1454" s="2">
        <f t="shared" si="6"/>
        <v>0.0004215719386</v>
      </c>
      <c r="M1454" s="2">
        <f t="shared" si="7"/>
        <v>0.4886018768</v>
      </c>
      <c r="N1454" s="2">
        <f t="shared" si="8"/>
        <v>0.06494666292</v>
      </c>
      <c r="O1454" s="2"/>
      <c r="P1454" s="4"/>
      <c r="Q1454" s="4"/>
      <c r="R1454" s="4"/>
    </row>
    <row r="1455" ht="14.25" customHeight="1">
      <c r="K1455" s="2">
        <v>0.01453</v>
      </c>
      <c r="L1455" s="2">
        <f t="shared" si="6"/>
        <v>0.0004221526936</v>
      </c>
      <c r="M1455" s="2">
        <f t="shared" si="7"/>
        <v>0.4892749718</v>
      </c>
      <c r="N1455" s="2">
        <f t="shared" si="8"/>
        <v>0.06502074118</v>
      </c>
      <c r="O1455" s="2"/>
      <c r="P1455" s="4"/>
      <c r="Q1455" s="4"/>
      <c r="R1455" s="4"/>
    </row>
    <row r="1456" ht="14.25" customHeight="1">
      <c r="K1456" s="2">
        <v>0.01454</v>
      </c>
      <c r="L1456" s="2">
        <f t="shared" si="6"/>
        <v>0.000422733848</v>
      </c>
      <c r="M1456" s="2">
        <f t="shared" si="7"/>
        <v>0.4899485299</v>
      </c>
      <c r="N1456" s="2">
        <f t="shared" si="8"/>
        <v>0.06509488</v>
      </c>
      <c r="O1456" s="2"/>
      <c r="P1456" s="4"/>
      <c r="Q1456" s="4"/>
      <c r="R1456" s="4"/>
    </row>
    <row r="1457" ht="14.25" customHeight="1">
      <c r="K1457" s="2">
        <v>0.01455</v>
      </c>
      <c r="L1457" s="2">
        <f t="shared" si="6"/>
        <v>0.000423315402</v>
      </c>
      <c r="M1457" s="2">
        <f t="shared" si="7"/>
        <v>0.490622551</v>
      </c>
      <c r="N1457" s="2">
        <f t="shared" si="8"/>
        <v>0.06516907943</v>
      </c>
      <c r="O1457" s="2"/>
      <c r="P1457" s="4"/>
      <c r="Q1457" s="4"/>
      <c r="R1457" s="4"/>
    </row>
    <row r="1458" ht="14.25" customHeight="1">
      <c r="K1458" s="2">
        <v>0.01456</v>
      </c>
      <c r="L1458" s="2">
        <f t="shared" si="6"/>
        <v>0.0004238973555</v>
      </c>
      <c r="M1458" s="2">
        <f t="shared" si="7"/>
        <v>0.491297035</v>
      </c>
      <c r="N1458" s="2">
        <f t="shared" si="8"/>
        <v>0.06524333951</v>
      </c>
      <c r="O1458" s="2"/>
      <c r="P1458" s="4"/>
      <c r="Q1458" s="4"/>
      <c r="R1458" s="4"/>
    </row>
    <row r="1459" ht="14.25" customHeight="1">
      <c r="K1459" s="2">
        <v>0.01457</v>
      </c>
      <c r="L1459" s="2">
        <f t="shared" si="6"/>
        <v>0.0004244797085</v>
      </c>
      <c r="M1459" s="2">
        <f t="shared" si="7"/>
        <v>0.4919719821</v>
      </c>
      <c r="N1459" s="2">
        <f t="shared" si="8"/>
        <v>0.06531766028</v>
      </c>
      <c r="O1459" s="2"/>
      <c r="P1459" s="4"/>
      <c r="Q1459" s="4"/>
      <c r="R1459" s="4"/>
    </row>
    <row r="1460" ht="14.25" customHeight="1">
      <c r="K1460" s="2">
        <v>0.01458</v>
      </c>
      <c r="L1460" s="2">
        <f t="shared" si="6"/>
        <v>0.000425062461</v>
      </c>
      <c r="M1460" s="2">
        <f t="shared" si="7"/>
        <v>0.4926473922</v>
      </c>
      <c r="N1460" s="2">
        <f t="shared" si="8"/>
        <v>0.06539204178</v>
      </c>
      <c r="O1460" s="2"/>
      <c r="P1460" s="4"/>
      <c r="Q1460" s="4"/>
      <c r="R1460" s="4"/>
    </row>
    <row r="1461" ht="14.25" customHeight="1">
      <c r="K1461" s="2">
        <v>0.01459</v>
      </c>
      <c r="L1461" s="2">
        <f t="shared" si="6"/>
        <v>0.0004256456129</v>
      </c>
      <c r="M1461" s="2">
        <f t="shared" si="7"/>
        <v>0.4933232654</v>
      </c>
      <c r="N1461" s="2">
        <f t="shared" si="8"/>
        <v>0.06546648406</v>
      </c>
      <c r="O1461" s="2"/>
      <c r="P1461" s="4"/>
      <c r="Q1461" s="4"/>
      <c r="R1461" s="4"/>
    </row>
    <row r="1462" ht="14.25" customHeight="1">
      <c r="K1462" s="2">
        <v>0.0146</v>
      </c>
      <c r="L1462" s="2">
        <f t="shared" si="6"/>
        <v>0.0004262291643</v>
      </c>
      <c r="M1462" s="2">
        <f t="shared" si="7"/>
        <v>0.4939996015</v>
      </c>
      <c r="N1462" s="2">
        <f t="shared" si="8"/>
        <v>0.06554098715</v>
      </c>
      <c r="O1462" s="2"/>
      <c r="P1462" s="4"/>
      <c r="Q1462" s="4"/>
      <c r="R1462" s="4"/>
    </row>
    <row r="1463" ht="14.25" customHeight="1">
      <c r="K1463" s="2">
        <v>0.01461</v>
      </c>
      <c r="L1463" s="2">
        <f t="shared" si="6"/>
        <v>0.0004268131153</v>
      </c>
      <c r="M1463" s="2">
        <f t="shared" si="7"/>
        <v>0.4946764006</v>
      </c>
      <c r="N1463" s="2">
        <f t="shared" si="8"/>
        <v>0.0656155511</v>
      </c>
      <c r="O1463" s="2"/>
      <c r="P1463" s="4"/>
      <c r="Q1463" s="4"/>
      <c r="R1463" s="4"/>
    </row>
    <row r="1464" ht="14.25" customHeight="1">
      <c r="K1464" s="2">
        <v>0.01462</v>
      </c>
      <c r="L1464" s="2">
        <f t="shared" si="6"/>
        <v>0.0004273974657</v>
      </c>
      <c r="M1464" s="2">
        <f t="shared" si="7"/>
        <v>0.4953536628</v>
      </c>
      <c r="N1464" s="2">
        <f t="shared" si="8"/>
        <v>0.06569017595</v>
      </c>
      <c r="O1464" s="2"/>
      <c r="P1464" s="4"/>
      <c r="Q1464" s="4"/>
      <c r="R1464" s="4"/>
    </row>
    <row r="1465" ht="14.25" customHeight="1">
      <c r="K1465" s="2">
        <v>0.01463</v>
      </c>
      <c r="L1465" s="2">
        <f t="shared" si="6"/>
        <v>0.0004279822156</v>
      </c>
      <c r="M1465" s="2">
        <f t="shared" si="7"/>
        <v>0.4960313879</v>
      </c>
      <c r="N1465" s="2">
        <f t="shared" si="8"/>
        <v>0.06576486174</v>
      </c>
      <c r="O1465" s="2"/>
      <c r="P1465" s="4"/>
      <c r="Q1465" s="4"/>
      <c r="R1465" s="4"/>
    </row>
    <row r="1466" ht="14.25" customHeight="1">
      <c r="K1466" s="2">
        <v>0.01464</v>
      </c>
      <c r="L1466" s="2">
        <f t="shared" si="6"/>
        <v>0.000428567365</v>
      </c>
      <c r="M1466" s="2">
        <f t="shared" si="7"/>
        <v>0.496709576</v>
      </c>
      <c r="N1466" s="2">
        <f t="shared" si="8"/>
        <v>0.06583960851</v>
      </c>
      <c r="O1466" s="2"/>
      <c r="P1466" s="4"/>
      <c r="Q1466" s="4"/>
      <c r="R1466" s="4"/>
    </row>
    <row r="1467" ht="14.25" customHeight="1">
      <c r="K1467" s="2">
        <v>0.01465</v>
      </c>
      <c r="L1467" s="2">
        <f t="shared" si="6"/>
        <v>0.0004291529139</v>
      </c>
      <c r="M1467" s="2">
        <f t="shared" si="7"/>
        <v>0.4973882272</v>
      </c>
      <c r="N1467" s="2">
        <f t="shared" si="8"/>
        <v>0.0659144163</v>
      </c>
      <c r="O1467" s="2"/>
      <c r="P1467" s="4"/>
      <c r="Q1467" s="4"/>
      <c r="R1467" s="4"/>
    </row>
    <row r="1468" ht="14.25" customHeight="1">
      <c r="K1468" s="2">
        <v>0.01466</v>
      </c>
      <c r="L1468" s="2">
        <f t="shared" si="6"/>
        <v>0.0004297388623</v>
      </c>
      <c r="M1468" s="2">
        <f t="shared" si="7"/>
        <v>0.4980673414</v>
      </c>
      <c r="N1468" s="2">
        <f t="shared" si="8"/>
        <v>0.06598928516</v>
      </c>
      <c r="O1468" s="2"/>
      <c r="P1468" s="4"/>
      <c r="Q1468" s="4"/>
      <c r="R1468" s="4"/>
    </row>
    <row r="1469" ht="14.25" customHeight="1">
      <c r="K1469" s="2">
        <v>0.01467</v>
      </c>
      <c r="L1469" s="2">
        <f t="shared" si="6"/>
        <v>0.0004303252101</v>
      </c>
      <c r="M1469" s="2">
        <f t="shared" si="7"/>
        <v>0.4987469185</v>
      </c>
      <c r="N1469" s="2">
        <f t="shared" si="8"/>
        <v>0.06606421513</v>
      </c>
      <c r="O1469" s="2"/>
      <c r="P1469" s="4"/>
      <c r="Q1469" s="4"/>
      <c r="R1469" s="4"/>
    </row>
    <row r="1470" ht="14.25" customHeight="1">
      <c r="K1470" s="2">
        <v>0.01468</v>
      </c>
      <c r="L1470" s="2">
        <f t="shared" si="6"/>
        <v>0.0004309119574</v>
      </c>
      <c r="M1470" s="2">
        <f t="shared" si="7"/>
        <v>0.4994269587</v>
      </c>
      <c r="N1470" s="2">
        <f t="shared" si="8"/>
        <v>0.06613920624</v>
      </c>
      <c r="O1470" s="2"/>
      <c r="P1470" s="4"/>
      <c r="Q1470" s="4"/>
      <c r="R1470" s="4"/>
    </row>
    <row r="1471" ht="14.25" customHeight="1">
      <c r="K1471" s="2">
        <v>0.01469</v>
      </c>
      <c r="L1471" s="2">
        <f t="shared" si="6"/>
        <v>0.0004314991043</v>
      </c>
      <c r="M1471" s="2">
        <f t="shared" si="7"/>
        <v>0.5001074618</v>
      </c>
      <c r="N1471" s="2">
        <f t="shared" si="8"/>
        <v>0.06621425854</v>
      </c>
      <c r="O1471" s="2"/>
      <c r="P1471" s="4"/>
      <c r="Q1471" s="4"/>
      <c r="R1471" s="4"/>
    </row>
    <row r="1472" ht="14.25" customHeight="1">
      <c r="K1472" s="2">
        <v>0.0147</v>
      </c>
      <c r="L1472" s="2">
        <f t="shared" si="6"/>
        <v>0.0004320866506</v>
      </c>
      <c r="M1472" s="2">
        <f t="shared" si="7"/>
        <v>0.500788428</v>
      </c>
      <c r="N1472" s="2">
        <f t="shared" si="8"/>
        <v>0.06628937207</v>
      </c>
      <c r="O1472" s="2"/>
      <c r="P1472" s="4"/>
      <c r="Q1472" s="4"/>
      <c r="R1472" s="4"/>
    </row>
    <row r="1473" ht="14.25" customHeight="1">
      <c r="K1473" s="2">
        <v>0.01471</v>
      </c>
      <c r="L1473" s="2">
        <f t="shared" si="6"/>
        <v>0.0004326745963</v>
      </c>
      <c r="M1473" s="2">
        <f t="shared" si="7"/>
        <v>0.5014698572</v>
      </c>
      <c r="N1473" s="2">
        <f t="shared" si="8"/>
        <v>0.06636454688</v>
      </c>
      <c r="O1473" s="2"/>
      <c r="P1473" s="4"/>
      <c r="Q1473" s="4"/>
      <c r="R1473" s="4"/>
    </row>
    <row r="1474" ht="14.25" customHeight="1">
      <c r="K1474" s="2">
        <v>0.01472</v>
      </c>
      <c r="L1474" s="2">
        <f t="shared" si="6"/>
        <v>0.0004332629416</v>
      </c>
      <c r="M1474" s="2">
        <f t="shared" si="7"/>
        <v>0.5021517493</v>
      </c>
      <c r="N1474" s="2">
        <f t="shared" si="8"/>
        <v>0.066439783</v>
      </c>
      <c r="O1474" s="2"/>
      <c r="P1474" s="4"/>
      <c r="Q1474" s="4"/>
      <c r="R1474" s="4"/>
    </row>
    <row r="1475" ht="14.25" customHeight="1">
      <c r="K1475" s="2">
        <v>0.01473</v>
      </c>
      <c r="L1475" s="2">
        <f t="shared" si="6"/>
        <v>0.0004338516864</v>
      </c>
      <c r="M1475" s="2">
        <f t="shared" si="7"/>
        <v>0.5028341045</v>
      </c>
      <c r="N1475" s="2">
        <f t="shared" si="8"/>
        <v>0.06651508047</v>
      </c>
      <c r="O1475" s="2"/>
      <c r="P1475" s="4"/>
      <c r="Q1475" s="4"/>
      <c r="R1475" s="4"/>
    </row>
    <row r="1476" ht="14.25" customHeight="1">
      <c r="K1476" s="2">
        <v>0.01474</v>
      </c>
      <c r="L1476" s="2">
        <f t="shared" si="6"/>
        <v>0.0004344408306</v>
      </c>
      <c r="M1476" s="2">
        <f t="shared" si="7"/>
        <v>0.5035169226</v>
      </c>
      <c r="N1476" s="2">
        <f t="shared" si="8"/>
        <v>0.06659043934</v>
      </c>
      <c r="O1476" s="2"/>
      <c r="P1476" s="4"/>
      <c r="Q1476" s="4"/>
      <c r="R1476" s="4"/>
    </row>
    <row r="1477" ht="14.25" customHeight="1">
      <c r="K1477" s="2">
        <v>0.01475</v>
      </c>
      <c r="L1477" s="2">
        <f t="shared" si="6"/>
        <v>0.0004350303743</v>
      </c>
      <c r="M1477" s="2">
        <f t="shared" si="7"/>
        <v>0.5042002038</v>
      </c>
      <c r="N1477" s="2">
        <f t="shared" si="8"/>
        <v>0.06666585965</v>
      </c>
      <c r="O1477" s="2"/>
      <c r="P1477" s="4"/>
      <c r="Q1477" s="4"/>
      <c r="R1477" s="4"/>
    </row>
    <row r="1478" ht="14.25" customHeight="1">
      <c r="K1478" s="2">
        <v>0.01476</v>
      </c>
      <c r="L1478" s="2">
        <f t="shared" si="6"/>
        <v>0.0004356203175</v>
      </c>
      <c r="M1478" s="2">
        <f t="shared" si="7"/>
        <v>0.5048839479</v>
      </c>
      <c r="N1478" s="2">
        <f t="shared" si="8"/>
        <v>0.06674134144</v>
      </c>
      <c r="O1478" s="2"/>
      <c r="P1478" s="4"/>
      <c r="Q1478" s="4"/>
      <c r="R1478" s="4"/>
    </row>
    <row r="1479" ht="14.25" customHeight="1">
      <c r="K1479" s="2">
        <v>0.01477</v>
      </c>
      <c r="L1479" s="2">
        <f t="shared" si="6"/>
        <v>0.0004362106601</v>
      </c>
      <c r="M1479" s="2">
        <f t="shared" si="7"/>
        <v>0.5055681551</v>
      </c>
      <c r="N1479" s="2">
        <f t="shared" si="8"/>
        <v>0.06681688475</v>
      </c>
      <c r="O1479" s="2"/>
      <c r="P1479" s="4"/>
      <c r="Q1479" s="4"/>
      <c r="R1479" s="4"/>
    </row>
    <row r="1480" ht="14.25" customHeight="1">
      <c r="K1480" s="2">
        <v>0.01478</v>
      </c>
      <c r="L1480" s="2">
        <f t="shared" si="6"/>
        <v>0.0004368014023</v>
      </c>
      <c r="M1480" s="2">
        <f t="shared" si="7"/>
        <v>0.5062528252</v>
      </c>
      <c r="N1480" s="2">
        <f t="shared" si="8"/>
        <v>0.06689248962</v>
      </c>
      <c r="O1480" s="2"/>
      <c r="P1480" s="4"/>
      <c r="Q1480" s="4"/>
      <c r="R1480" s="4"/>
    </row>
    <row r="1481" ht="14.25" customHeight="1">
      <c r="K1481" s="2">
        <v>0.01479</v>
      </c>
      <c r="L1481" s="2">
        <f t="shared" si="6"/>
        <v>0.0004373925439</v>
      </c>
      <c r="M1481" s="2">
        <f t="shared" si="7"/>
        <v>0.5069379584</v>
      </c>
      <c r="N1481" s="2">
        <f t="shared" si="8"/>
        <v>0.0669681561</v>
      </c>
      <c r="O1481" s="2"/>
      <c r="P1481" s="4"/>
      <c r="Q1481" s="4"/>
      <c r="R1481" s="4"/>
    </row>
    <row r="1482" ht="14.25" customHeight="1">
      <c r="K1482" s="2">
        <v>0.0148</v>
      </c>
      <c r="L1482" s="2">
        <f t="shared" si="6"/>
        <v>0.000437984085</v>
      </c>
      <c r="M1482" s="2">
        <f t="shared" si="7"/>
        <v>0.5076235545</v>
      </c>
      <c r="N1482" s="2">
        <f t="shared" si="8"/>
        <v>0.06704388422</v>
      </c>
      <c r="O1482" s="2"/>
      <c r="P1482" s="4"/>
      <c r="Q1482" s="4"/>
      <c r="R1482" s="4"/>
    </row>
    <row r="1483" ht="14.25" customHeight="1">
      <c r="K1483" s="2">
        <v>0.01481</v>
      </c>
      <c r="L1483" s="2">
        <f t="shared" si="6"/>
        <v>0.0004385760255</v>
      </c>
      <c r="M1483" s="2">
        <f t="shared" si="7"/>
        <v>0.5083096136</v>
      </c>
      <c r="N1483" s="2">
        <f t="shared" si="8"/>
        <v>0.06711967403</v>
      </c>
      <c r="O1483" s="2"/>
      <c r="P1483" s="4"/>
      <c r="Q1483" s="4"/>
      <c r="R1483" s="4"/>
    </row>
    <row r="1484" ht="14.25" customHeight="1">
      <c r="K1484" s="2">
        <v>0.01482</v>
      </c>
      <c r="L1484" s="2">
        <f t="shared" si="6"/>
        <v>0.0004391683656</v>
      </c>
      <c r="M1484" s="2">
        <f t="shared" si="7"/>
        <v>0.5089961357</v>
      </c>
      <c r="N1484" s="2">
        <f t="shared" si="8"/>
        <v>0.06719552557</v>
      </c>
      <c r="O1484" s="2"/>
      <c r="P1484" s="4"/>
      <c r="Q1484" s="4"/>
      <c r="R1484" s="4"/>
    </row>
    <row r="1485" ht="14.25" customHeight="1">
      <c r="K1485" s="2">
        <v>0.01483</v>
      </c>
      <c r="L1485" s="2">
        <f t="shared" si="6"/>
        <v>0.0004397611051</v>
      </c>
      <c r="M1485" s="2">
        <f t="shared" si="7"/>
        <v>0.5096831208</v>
      </c>
      <c r="N1485" s="2">
        <f t="shared" si="8"/>
        <v>0.06727143888</v>
      </c>
      <c r="O1485" s="2"/>
      <c r="P1485" s="4"/>
      <c r="Q1485" s="4"/>
      <c r="R1485" s="4"/>
    </row>
    <row r="1486" ht="14.25" customHeight="1">
      <c r="K1486" s="2">
        <v>0.01484</v>
      </c>
      <c r="L1486" s="2">
        <f t="shared" si="6"/>
        <v>0.0004403542441</v>
      </c>
      <c r="M1486" s="2">
        <f t="shared" si="7"/>
        <v>0.5103705689</v>
      </c>
      <c r="N1486" s="2">
        <f t="shared" si="8"/>
        <v>0.067347414</v>
      </c>
      <c r="O1486" s="2"/>
      <c r="P1486" s="4"/>
      <c r="Q1486" s="4"/>
      <c r="R1486" s="4"/>
    </row>
    <row r="1487" ht="14.25" customHeight="1">
      <c r="K1487" s="2">
        <v>0.01485</v>
      </c>
      <c r="L1487" s="2">
        <f t="shared" si="6"/>
        <v>0.0004409477825</v>
      </c>
      <c r="M1487" s="2">
        <f t="shared" si="7"/>
        <v>0.5110584799</v>
      </c>
      <c r="N1487" s="2">
        <f t="shared" si="8"/>
        <v>0.06742345097</v>
      </c>
      <c r="O1487" s="2"/>
      <c r="P1487" s="4"/>
      <c r="Q1487" s="4"/>
      <c r="R1487" s="4"/>
    </row>
    <row r="1488" ht="14.25" customHeight="1">
      <c r="K1488" s="2">
        <v>0.01486</v>
      </c>
      <c r="L1488" s="2">
        <f t="shared" si="6"/>
        <v>0.0004415417205</v>
      </c>
      <c r="M1488" s="2">
        <f t="shared" si="7"/>
        <v>0.511746854</v>
      </c>
      <c r="N1488" s="2">
        <f t="shared" si="8"/>
        <v>0.06749954984</v>
      </c>
      <c r="O1488" s="2"/>
      <c r="P1488" s="4"/>
      <c r="Q1488" s="4"/>
      <c r="R1488" s="4"/>
    </row>
    <row r="1489" ht="14.25" customHeight="1">
      <c r="K1489" s="2">
        <v>0.01487</v>
      </c>
      <c r="L1489" s="2">
        <f t="shared" si="6"/>
        <v>0.0004421360579</v>
      </c>
      <c r="M1489" s="2">
        <f t="shared" si="7"/>
        <v>0.5124356911</v>
      </c>
      <c r="N1489" s="2">
        <f t="shared" si="8"/>
        <v>0.06757571064</v>
      </c>
      <c r="O1489" s="2"/>
      <c r="P1489" s="4"/>
      <c r="Q1489" s="4"/>
      <c r="R1489" s="4"/>
    </row>
    <row r="1490" ht="14.25" customHeight="1">
      <c r="K1490" s="2">
        <v>0.01488</v>
      </c>
      <c r="L1490" s="2">
        <f t="shared" si="6"/>
        <v>0.0004427307947</v>
      </c>
      <c r="M1490" s="2">
        <f t="shared" si="7"/>
        <v>0.5131249911</v>
      </c>
      <c r="N1490" s="2">
        <f t="shared" si="8"/>
        <v>0.06765193343</v>
      </c>
      <c r="O1490" s="2"/>
      <c r="P1490" s="4"/>
      <c r="Q1490" s="4"/>
      <c r="R1490" s="4"/>
    </row>
    <row r="1491" ht="14.25" customHeight="1">
      <c r="K1491" s="2">
        <v>0.01489</v>
      </c>
      <c r="L1491" s="2">
        <f t="shared" si="6"/>
        <v>0.0004433259311</v>
      </c>
      <c r="M1491" s="2">
        <f t="shared" si="7"/>
        <v>0.5138147541</v>
      </c>
      <c r="N1491" s="2">
        <f t="shared" si="8"/>
        <v>0.06772821823</v>
      </c>
      <c r="O1491" s="2"/>
      <c r="P1491" s="4"/>
      <c r="Q1491" s="4"/>
      <c r="R1491" s="4"/>
    </row>
    <row r="1492" ht="14.25" customHeight="1">
      <c r="K1492" s="2">
        <v>0.0149</v>
      </c>
      <c r="L1492" s="2">
        <f t="shared" si="6"/>
        <v>0.0004439214669</v>
      </c>
      <c r="M1492" s="2">
        <f t="shared" si="7"/>
        <v>0.5145049801</v>
      </c>
      <c r="N1492" s="2">
        <f t="shared" si="8"/>
        <v>0.06780456509</v>
      </c>
      <c r="O1492" s="2"/>
      <c r="P1492" s="4"/>
      <c r="Q1492" s="4"/>
      <c r="R1492" s="4"/>
    </row>
    <row r="1493" ht="14.25" customHeight="1">
      <c r="K1493" s="2">
        <v>0.01491</v>
      </c>
      <c r="L1493" s="2">
        <f t="shared" si="6"/>
        <v>0.0004445174021</v>
      </c>
      <c r="M1493" s="2">
        <f t="shared" si="7"/>
        <v>0.5151956691</v>
      </c>
      <c r="N1493" s="2">
        <f t="shared" si="8"/>
        <v>0.06788097405</v>
      </c>
      <c r="O1493" s="2"/>
      <c r="P1493" s="4"/>
      <c r="Q1493" s="4"/>
      <c r="R1493" s="4"/>
    </row>
    <row r="1494" ht="14.25" customHeight="1">
      <c r="K1494" s="2">
        <v>0.01492</v>
      </c>
      <c r="L1494" s="2">
        <f t="shared" si="6"/>
        <v>0.0004451137369</v>
      </c>
      <c r="M1494" s="2">
        <f t="shared" si="7"/>
        <v>0.515886821</v>
      </c>
      <c r="N1494" s="2">
        <f t="shared" si="8"/>
        <v>0.06795744516</v>
      </c>
      <c r="O1494" s="2"/>
      <c r="P1494" s="4"/>
      <c r="Q1494" s="4"/>
      <c r="R1494" s="4"/>
    </row>
    <row r="1495" ht="14.25" customHeight="1">
      <c r="K1495" s="2">
        <v>0.01493</v>
      </c>
      <c r="L1495" s="2">
        <f t="shared" si="6"/>
        <v>0.0004457104711</v>
      </c>
      <c r="M1495" s="2">
        <f t="shared" si="7"/>
        <v>0.516578436</v>
      </c>
      <c r="N1495" s="2">
        <f t="shared" si="8"/>
        <v>0.06803397846</v>
      </c>
      <c r="O1495" s="2"/>
      <c r="P1495" s="4"/>
      <c r="Q1495" s="4"/>
      <c r="R1495" s="4"/>
    </row>
    <row r="1496" ht="14.25" customHeight="1">
      <c r="K1496" s="2">
        <v>0.01494</v>
      </c>
      <c r="L1496" s="2">
        <f t="shared" si="6"/>
        <v>0.0004463076048</v>
      </c>
      <c r="M1496" s="2">
        <f t="shared" si="7"/>
        <v>0.5172705139</v>
      </c>
      <c r="N1496" s="2">
        <f t="shared" si="8"/>
        <v>0.06811057398</v>
      </c>
      <c r="O1496" s="2"/>
      <c r="P1496" s="4"/>
      <c r="Q1496" s="4"/>
      <c r="R1496" s="4"/>
    </row>
    <row r="1497" ht="14.25" customHeight="1">
      <c r="K1497" s="2">
        <v>0.01495</v>
      </c>
      <c r="L1497" s="2">
        <f t="shared" si="6"/>
        <v>0.0004469051379</v>
      </c>
      <c r="M1497" s="2">
        <f t="shared" si="7"/>
        <v>0.5179630548</v>
      </c>
      <c r="N1497" s="2">
        <f t="shared" si="8"/>
        <v>0.06818723176</v>
      </c>
      <c r="O1497" s="2"/>
      <c r="P1497" s="4"/>
      <c r="Q1497" s="4"/>
      <c r="R1497" s="4"/>
    </row>
    <row r="1498" ht="14.25" customHeight="1">
      <c r="K1498" s="2">
        <v>0.01496</v>
      </c>
      <c r="L1498" s="2">
        <f t="shared" si="6"/>
        <v>0.0004475030705</v>
      </c>
      <c r="M1498" s="2">
        <f t="shared" si="7"/>
        <v>0.5186560587</v>
      </c>
      <c r="N1498" s="2">
        <f t="shared" si="8"/>
        <v>0.06826395186</v>
      </c>
      <c r="O1498" s="2"/>
      <c r="P1498" s="4"/>
      <c r="Q1498" s="4"/>
      <c r="R1498" s="4"/>
    </row>
    <row r="1499" ht="14.25" customHeight="1">
      <c r="K1499" s="2">
        <v>0.01497</v>
      </c>
      <c r="L1499" s="2">
        <f t="shared" si="6"/>
        <v>0.0004481014026</v>
      </c>
      <c r="M1499" s="2">
        <f t="shared" si="7"/>
        <v>0.5193495256</v>
      </c>
      <c r="N1499" s="2">
        <f t="shared" si="8"/>
        <v>0.06834073431</v>
      </c>
      <c r="O1499" s="2"/>
      <c r="P1499" s="4"/>
      <c r="Q1499" s="4"/>
      <c r="R1499" s="4"/>
    </row>
    <row r="1500" ht="14.25" customHeight="1">
      <c r="K1500" s="2">
        <v>0.01498</v>
      </c>
      <c r="L1500" s="2">
        <f t="shared" si="6"/>
        <v>0.0004487001341</v>
      </c>
      <c r="M1500" s="2">
        <f t="shared" si="7"/>
        <v>0.5200434554</v>
      </c>
      <c r="N1500" s="2">
        <f t="shared" si="8"/>
        <v>0.06841757915</v>
      </c>
      <c r="O1500" s="2"/>
      <c r="P1500" s="4"/>
      <c r="Q1500" s="4"/>
      <c r="R1500" s="4"/>
    </row>
    <row r="1501" ht="14.25" customHeight="1">
      <c r="K1501" s="2">
        <v>0.01499</v>
      </c>
      <c r="L1501" s="2">
        <f t="shared" si="6"/>
        <v>0.0004492992651</v>
      </c>
      <c r="M1501" s="2">
        <f t="shared" si="7"/>
        <v>0.5207378482</v>
      </c>
      <c r="N1501" s="2">
        <f t="shared" si="8"/>
        <v>0.06849448643</v>
      </c>
      <c r="O1501" s="2"/>
      <c r="P1501" s="4"/>
      <c r="Q1501" s="4"/>
      <c r="R1501" s="4"/>
    </row>
    <row r="1502" ht="14.25" customHeight="1">
      <c r="K1502" s="2">
        <v>0.015</v>
      </c>
      <c r="L1502" s="2">
        <f t="shared" si="6"/>
        <v>0.0004498987955</v>
      </c>
      <c r="M1502" s="2">
        <f t="shared" si="7"/>
        <v>0.521432704</v>
      </c>
      <c r="N1502" s="2">
        <f t="shared" si="8"/>
        <v>0.06857145618</v>
      </c>
      <c r="O1502" s="2"/>
      <c r="P1502" s="4"/>
      <c r="Q1502" s="4"/>
      <c r="R1502" s="4"/>
    </row>
    <row r="1503" ht="14.25" customHeight="1">
      <c r="K1503" s="2">
        <v>0.01501</v>
      </c>
      <c r="L1503" s="2">
        <f t="shared" si="6"/>
        <v>0.0004504987254</v>
      </c>
      <c r="M1503" s="2">
        <f t="shared" si="7"/>
        <v>0.5221280228</v>
      </c>
      <c r="N1503" s="2">
        <f t="shared" si="8"/>
        <v>0.06864848845</v>
      </c>
      <c r="O1503" s="2"/>
      <c r="P1503" s="4"/>
      <c r="Q1503" s="4"/>
      <c r="R1503" s="4"/>
    </row>
    <row r="1504" ht="14.25" customHeight="1">
      <c r="K1504" s="2">
        <v>0.01502</v>
      </c>
      <c r="L1504" s="2">
        <f t="shared" si="6"/>
        <v>0.0004510990548</v>
      </c>
      <c r="M1504" s="2">
        <f t="shared" si="7"/>
        <v>0.5228238045</v>
      </c>
      <c r="N1504" s="2">
        <f t="shared" si="8"/>
        <v>0.06872558328</v>
      </c>
      <c r="O1504" s="2"/>
      <c r="P1504" s="4"/>
      <c r="Q1504" s="4"/>
      <c r="R1504" s="4"/>
    </row>
    <row r="1505" ht="14.25" customHeight="1">
      <c r="K1505" s="2">
        <v>0.01503</v>
      </c>
      <c r="L1505" s="2">
        <f t="shared" si="6"/>
        <v>0.0004516997837</v>
      </c>
      <c r="M1505" s="2">
        <f t="shared" si="7"/>
        <v>0.5235200493</v>
      </c>
      <c r="N1505" s="2">
        <f t="shared" si="8"/>
        <v>0.0688027407</v>
      </c>
      <c r="O1505" s="2"/>
      <c r="P1505" s="4"/>
      <c r="Q1505" s="4"/>
      <c r="R1505" s="4"/>
    </row>
    <row r="1506" ht="14.25" customHeight="1">
      <c r="K1506" s="2">
        <v>0.01504</v>
      </c>
      <c r="L1506" s="2">
        <f t="shared" si="6"/>
        <v>0.0004523009119</v>
      </c>
      <c r="M1506" s="2">
        <f t="shared" si="7"/>
        <v>0.5242167569</v>
      </c>
      <c r="N1506" s="2">
        <f t="shared" si="8"/>
        <v>0.06887996077</v>
      </c>
      <c r="O1506" s="2"/>
      <c r="P1506" s="4"/>
      <c r="Q1506" s="4"/>
      <c r="R1506" s="4"/>
    </row>
    <row r="1507" ht="14.25" customHeight="1">
      <c r="K1507" s="2">
        <v>0.01505</v>
      </c>
      <c r="L1507" s="2">
        <f t="shared" si="6"/>
        <v>0.0004529024397</v>
      </c>
      <c r="M1507" s="2">
        <f t="shared" si="7"/>
        <v>0.5249139276</v>
      </c>
      <c r="N1507" s="2">
        <f t="shared" si="8"/>
        <v>0.06895724352</v>
      </c>
      <c r="O1507" s="2"/>
      <c r="P1507" s="4"/>
      <c r="Q1507" s="4"/>
      <c r="R1507" s="4"/>
    </row>
    <row r="1508" ht="14.25" customHeight="1">
      <c r="K1508" s="2">
        <v>0.01506</v>
      </c>
      <c r="L1508" s="2">
        <f t="shared" si="6"/>
        <v>0.0004535043669</v>
      </c>
      <c r="M1508" s="2">
        <f t="shared" si="7"/>
        <v>0.5256115612</v>
      </c>
      <c r="N1508" s="2">
        <f t="shared" si="8"/>
        <v>0.069034589</v>
      </c>
      <c r="O1508" s="2"/>
      <c r="P1508" s="4"/>
      <c r="Q1508" s="4"/>
      <c r="R1508" s="4"/>
    </row>
    <row r="1509" ht="14.25" customHeight="1">
      <c r="K1509" s="2">
        <v>0.01507</v>
      </c>
      <c r="L1509" s="2">
        <f t="shared" si="6"/>
        <v>0.0004541066936</v>
      </c>
      <c r="M1509" s="2">
        <f t="shared" si="7"/>
        <v>0.5263096578</v>
      </c>
      <c r="N1509" s="2">
        <f t="shared" si="8"/>
        <v>0.06911199724</v>
      </c>
      <c r="O1509" s="2"/>
      <c r="P1509" s="4"/>
      <c r="Q1509" s="4"/>
      <c r="R1509" s="4"/>
    </row>
    <row r="1510" ht="14.25" customHeight="1">
      <c r="K1510" s="2">
        <v>0.01508</v>
      </c>
      <c r="L1510" s="2">
        <f t="shared" si="6"/>
        <v>0.0004547094197</v>
      </c>
      <c r="M1510" s="2">
        <f t="shared" si="7"/>
        <v>0.5270082174</v>
      </c>
      <c r="N1510" s="2">
        <f t="shared" si="8"/>
        <v>0.06918946829</v>
      </c>
      <c r="O1510" s="2"/>
      <c r="P1510" s="4"/>
      <c r="Q1510" s="4"/>
      <c r="R1510" s="4"/>
    </row>
    <row r="1511" ht="14.25" customHeight="1">
      <c r="K1511" s="2">
        <v>0.01509</v>
      </c>
      <c r="L1511" s="2">
        <f t="shared" si="6"/>
        <v>0.0004553125452</v>
      </c>
      <c r="M1511" s="2">
        <f t="shared" si="7"/>
        <v>0.5277072399</v>
      </c>
      <c r="N1511" s="2">
        <f t="shared" si="8"/>
        <v>0.06926700219</v>
      </c>
      <c r="O1511" s="2"/>
      <c r="P1511" s="4"/>
      <c r="Q1511" s="4"/>
      <c r="R1511" s="4"/>
    </row>
    <row r="1512" ht="14.25" customHeight="1">
      <c r="K1512" s="2">
        <v>0.0151</v>
      </c>
      <c r="L1512" s="2">
        <f t="shared" si="6"/>
        <v>0.0004559160703</v>
      </c>
      <c r="M1512" s="2">
        <f t="shared" si="7"/>
        <v>0.5284067254</v>
      </c>
      <c r="N1512" s="2">
        <f t="shared" si="8"/>
        <v>0.06934459898</v>
      </c>
      <c r="O1512" s="2"/>
      <c r="P1512" s="4"/>
      <c r="Q1512" s="4"/>
      <c r="R1512" s="4"/>
    </row>
    <row r="1513" ht="14.25" customHeight="1">
      <c r="K1513" s="2">
        <v>0.01511</v>
      </c>
      <c r="L1513" s="2">
        <f t="shared" si="6"/>
        <v>0.0004565199947</v>
      </c>
      <c r="M1513" s="2">
        <f t="shared" si="7"/>
        <v>0.5291066739</v>
      </c>
      <c r="N1513" s="2">
        <f t="shared" si="8"/>
        <v>0.06942225871</v>
      </c>
      <c r="O1513" s="2"/>
      <c r="P1513" s="4"/>
      <c r="Q1513" s="4"/>
      <c r="R1513" s="4"/>
    </row>
    <row r="1514" ht="14.25" customHeight="1">
      <c r="K1514" s="2">
        <v>0.01512</v>
      </c>
      <c r="L1514" s="2">
        <f t="shared" si="6"/>
        <v>0.0004571243187</v>
      </c>
      <c r="M1514" s="2">
        <f t="shared" si="7"/>
        <v>0.5298070853</v>
      </c>
      <c r="N1514" s="2">
        <f t="shared" si="8"/>
        <v>0.0694999814</v>
      </c>
      <c r="O1514" s="2"/>
      <c r="P1514" s="4"/>
      <c r="Q1514" s="4"/>
      <c r="R1514" s="4"/>
    </row>
    <row r="1515" ht="14.25" customHeight="1">
      <c r="K1515" s="2">
        <v>0.01513</v>
      </c>
      <c r="L1515" s="2">
        <f t="shared" si="6"/>
        <v>0.0004577290421</v>
      </c>
      <c r="M1515" s="2">
        <f t="shared" si="7"/>
        <v>0.5305079597</v>
      </c>
      <c r="N1515" s="2">
        <f t="shared" si="8"/>
        <v>0.06957776711</v>
      </c>
      <c r="O1515" s="2"/>
      <c r="P1515" s="4"/>
      <c r="Q1515" s="4"/>
      <c r="R1515" s="4"/>
    </row>
    <row r="1516" ht="14.25" customHeight="1">
      <c r="K1516" s="2">
        <v>0.01514</v>
      </c>
      <c r="L1516" s="2">
        <f t="shared" si="6"/>
        <v>0.0004583341649</v>
      </c>
      <c r="M1516" s="2">
        <f t="shared" si="7"/>
        <v>0.5312092971</v>
      </c>
      <c r="N1516" s="2">
        <f t="shared" si="8"/>
        <v>0.06965561588</v>
      </c>
      <c r="O1516" s="2"/>
      <c r="P1516" s="4"/>
      <c r="Q1516" s="4"/>
      <c r="R1516" s="4"/>
    </row>
    <row r="1517" ht="14.25" customHeight="1">
      <c r="K1517" s="2">
        <v>0.01515</v>
      </c>
      <c r="L1517" s="2">
        <f t="shared" si="6"/>
        <v>0.0004589396872</v>
      </c>
      <c r="M1517" s="2">
        <f t="shared" si="7"/>
        <v>0.5319110974</v>
      </c>
      <c r="N1517" s="2">
        <f t="shared" si="8"/>
        <v>0.06973352774</v>
      </c>
      <c r="O1517" s="2"/>
      <c r="P1517" s="4"/>
      <c r="Q1517" s="4"/>
      <c r="R1517" s="4"/>
    </row>
    <row r="1518" ht="14.25" customHeight="1">
      <c r="K1518" s="2">
        <v>0.01516</v>
      </c>
      <c r="L1518" s="2">
        <f t="shared" si="6"/>
        <v>0.0004595456089</v>
      </c>
      <c r="M1518" s="2">
        <f t="shared" si="7"/>
        <v>0.5326133607</v>
      </c>
      <c r="N1518" s="2">
        <f t="shared" si="8"/>
        <v>0.06981150275</v>
      </c>
      <c r="O1518" s="2"/>
      <c r="P1518" s="4"/>
      <c r="Q1518" s="4"/>
      <c r="R1518" s="4"/>
    </row>
    <row r="1519" ht="14.25" customHeight="1">
      <c r="K1519" s="2">
        <v>0.01517</v>
      </c>
      <c r="L1519" s="2">
        <f t="shared" si="6"/>
        <v>0.0004601519301</v>
      </c>
      <c r="M1519" s="2">
        <f t="shared" si="7"/>
        <v>0.533316087</v>
      </c>
      <c r="N1519" s="2">
        <f t="shared" si="8"/>
        <v>0.06988954093</v>
      </c>
      <c r="O1519" s="2"/>
      <c r="P1519" s="4"/>
      <c r="Q1519" s="4"/>
      <c r="R1519" s="4"/>
    </row>
    <row r="1520" ht="14.25" customHeight="1">
      <c r="K1520" s="2">
        <v>0.01518</v>
      </c>
      <c r="L1520" s="2">
        <f t="shared" si="6"/>
        <v>0.0004607586507</v>
      </c>
      <c r="M1520" s="2">
        <f t="shared" si="7"/>
        <v>0.5340192762</v>
      </c>
      <c r="N1520" s="2">
        <f t="shared" si="8"/>
        <v>0.06996764234</v>
      </c>
      <c r="O1520" s="2"/>
      <c r="P1520" s="4"/>
      <c r="Q1520" s="4"/>
      <c r="R1520" s="4"/>
    </row>
    <row r="1521" ht="14.25" customHeight="1">
      <c r="K1521" s="2">
        <v>0.01519</v>
      </c>
      <c r="L1521" s="2">
        <f t="shared" si="6"/>
        <v>0.0004613657708</v>
      </c>
      <c r="M1521" s="2">
        <f t="shared" si="7"/>
        <v>0.5347229284</v>
      </c>
      <c r="N1521" s="2">
        <f t="shared" si="8"/>
        <v>0.07004580701</v>
      </c>
      <c r="O1521" s="2"/>
      <c r="P1521" s="4"/>
      <c r="Q1521" s="4"/>
      <c r="R1521" s="4"/>
    </row>
    <row r="1522" ht="14.25" customHeight="1">
      <c r="K1522" s="2">
        <v>0.0152</v>
      </c>
      <c r="L1522" s="2">
        <f t="shared" si="6"/>
        <v>0.0004619732903</v>
      </c>
      <c r="M1522" s="2">
        <f t="shared" si="7"/>
        <v>0.5354270435</v>
      </c>
      <c r="N1522" s="2">
        <f t="shared" si="8"/>
        <v>0.07012403499</v>
      </c>
      <c r="O1522" s="2"/>
      <c r="P1522" s="4"/>
      <c r="Q1522" s="4"/>
      <c r="R1522" s="4"/>
    </row>
    <row r="1523" ht="14.25" customHeight="1">
      <c r="K1523" s="2">
        <v>0.01521</v>
      </c>
      <c r="L1523" s="2">
        <f t="shared" si="6"/>
        <v>0.0004625812093</v>
      </c>
      <c r="M1523" s="2">
        <f t="shared" si="7"/>
        <v>0.5361316216</v>
      </c>
      <c r="N1523" s="2">
        <f t="shared" si="8"/>
        <v>0.07020232631</v>
      </c>
      <c r="O1523" s="2"/>
      <c r="P1523" s="4"/>
      <c r="Q1523" s="4"/>
      <c r="R1523" s="4"/>
    </row>
    <row r="1524" ht="14.25" customHeight="1">
      <c r="K1524" s="2">
        <v>0.01522</v>
      </c>
      <c r="L1524" s="2">
        <f t="shared" si="6"/>
        <v>0.0004631895277</v>
      </c>
      <c r="M1524" s="2">
        <f t="shared" si="7"/>
        <v>0.5368366626</v>
      </c>
      <c r="N1524" s="2">
        <f t="shared" si="8"/>
        <v>0.07028068103</v>
      </c>
      <c r="O1524" s="2"/>
      <c r="P1524" s="4"/>
      <c r="Q1524" s="4"/>
      <c r="R1524" s="4"/>
    </row>
    <row r="1525" ht="14.25" customHeight="1">
      <c r="K1525" s="2">
        <v>0.01523</v>
      </c>
      <c r="L1525" s="2">
        <f t="shared" si="6"/>
        <v>0.0004637982456</v>
      </c>
      <c r="M1525" s="2">
        <f t="shared" si="7"/>
        <v>0.5375421666</v>
      </c>
      <c r="N1525" s="2">
        <f t="shared" si="8"/>
        <v>0.07035909917</v>
      </c>
      <c r="O1525" s="2"/>
      <c r="P1525" s="4"/>
      <c r="Q1525" s="4"/>
      <c r="R1525" s="4"/>
    </row>
    <row r="1526" ht="14.25" customHeight="1">
      <c r="K1526" s="2">
        <v>0.01524</v>
      </c>
      <c r="L1526" s="2">
        <f t="shared" si="6"/>
        <v>0.0004644073629</v>
      </c>
      <c r="M1526" s="2">
        <f t="shared" si="7"/>
        <v>0.5382481336</v>
      </c>
      <c r="N1526" s="2">
        <f t="shared" si="8"/>
        <v>0.07043758078</v>
      </c>
      <c r="O1526" s="2"/>
      <c r="P1526" s="4"/>
      <c r="Q1526" s="4"/>
      <c r="R1526" s="4"/>
    </row>
    <row r="1527" ht="14.25" customHeight="1">
      <c r="K1527" s="2">
        <v>0.01525</v>
      </c>
      <c r="L1527" s="2">
        <f t="shared" si="6"/>
        <v>0.0004650168797</v>
      </c>
      <c r="M1527" s="2">
        <f t="shared" si="7"/>
        <v>0.5389545635</v>
      </c>
      <c r="N1527" s="2">
        <f t="shared" si="8"/>
        <v>0.07051612591</v>
      </c>
      <c r="O1527" s="2"/>
      <c r="P1527" s="4"/>
      <c r="Q1527" s="4"/>
      <c r="R1527" s="4"/>
    </row>
    <row r="1528" ht="14.25" customHeight="1">
      <c r="K1528" s="2">
        <v>0.01526</v>
      </c>
      <c r="L1528" s="2">
        <f t="shared" si="6"/>
        <v>0.0004656267958</v>
      </c>
      <c r="M1528" s="2">
        <f t="shared" si="7"/>
        <v>0.5396614564</v>
      </c>
      <c r="N1528" s="2">
        <f t="shared" si="8"/>
        <v>0.07059473459</v>
      </c>
      <c r="O1528" s="2"/>
      <c r="P1528" s="4"/>
      <c r="Q1528" s="4"/>
      <c r="R1528" s="4"/>
    </row>
    <row r="1529" ht="14.25" customHeight="1">
      <c r="K1529" s="2">
        <v>0.01527</v>
      </c>
      <c r="L1529" s="2">
        <f t="shared" si="6"/>
        <v>0.0004662371115</v>
      </c>
      <c r="M1529" s="2">
        <f t="shared" si="7"/>
        <v>0.5403688122</v>
      </c>
      <c r="N1529" s="2">
        <f t="shared" si="8"/>
        <v>0.07067340686</v>
      </c>
      <c r="O1529" s="2"/>
      <c r="P1529" s="4"/>
      <c r="Q1529" s="4"/>
      <c r="R1529" s="4"/>
    </row>
    <row r="1530" ht="14.25" customHeight="1">
      <c r="K1530" s="2">
        <v>0.01528</v>
      </c>
      <c r="L1530" s="2">
        <f t="shared" si="6"/>
        <v>0.0004668478266</v>
      </c>
      <c r="M1530" s="2">
        <f t="shared" si="7"/>
        <v>0.541076631</v>
      </c>
      <c r="N1530" s="2">
        <f t="shared" si="8"/>
        <v>0.07075214278</v>
      </c>
      <c r="O1530" s="2"/>
      <c r="P1530" s="4"/>
      <c r="Q1530" s="4"/>
      <c r="R1530" s="4"/>
    </row>
    <row r="1531" ht="14.25" customHeight="1">
      <c r="K1531" s="2">
        <v>0.01529</v>
      </c>
      <c r="L1531" s="2">
        <f t="shared" si="6"/>
        <v>0.0004674589411</v>
      </c>
      <c r="M1531" s="2">
        <f t="shared" si="7"/>
        <v>0.5417849127</v>
      </c>
      <c r="N1531" s="2">
        <f t="shared" si="8"/>
        <v>0.07083094237</v>
      </c>
      <c r="O1531" s="2"/>
      <c r="P1531" s="4"/>
      <c r="Q1531" s="4"/>
      <c r="R1531" s="4"/>
    </row>
    <row r="1532" ht="14.25" customHeight="1">
      <c r="K1532" s="2">
        <v>0.0153</v>
      </c>
      <c r="L1532" s="2">
        <f t="shared" si="6"/>
        <v>0.000468070455</v>
      </c>
      <c r="M1532" s="2">
        <f t="shared" si="7"/>
        <v>0.5424936574</v>
      </c>
      <c r="N1532" s="2">
        <f t="shared" si="8"/>
        <v>0.07090980568</v>
      </c>
      <c r="O1532" s="2"/>
      <c r="P1532" s="4"/>
      <c r="Q1532" s="4"/>
      <c r="R1532" s="4"/>
    </row>
    <row r="1533" ht="14.25" customHeight="1">
      <c r="K1533" s="2">
        <v>0.01531</v>
      </c>
      <c r="L1533" s="2">
        <f t="shared" si="6"/>
        <v>0.0004686823684</v>
      </c>
      <c r="M1533" s="2">
        <f t="shared" si="7"/>
        <v>0.543202865</v>
      </c>
      <c r="N1533" s="2">
        <f t="shared" si="8"/>
        <v>0.07098873276</v>
      </c>
      <c r="O1533" s="2"/>
      <c r="P1533" s="4"/>
      <c r="Q1533" s="4"/>
      <c r="R1533" s="4"/>
    </row>
    <row r="1534" ht="14.25" customHeight="1">
      <c r="K1534" s="2">
        <v>0.01532</v>
      </c>
      <c r="L1534" s="2">
        <f t="shared" si="6"/>
        <v>0.0004692946813</v>
      </c>
      <c r="M1534" s="2">
        <f t="shared" si="7"/>
        <v>0.5439125356</v>
      </c>
      <c r="N1534" s="2">
        <f t="shared" si="8"/>
        <v>0.07106772363</v>
      </c>
      <c r="O1534" s="2"/>
      <c r="P1534" s="4"/>
      <c r="Q1534" s="4"/>
      <c r="R1534" s="4"/>
    </row>
    <row r="1535" ht="14.25" customHeight="1">
      <c r="K1535" s="2">
        <v>0.01533</v>
      </c>
      <c r="L1535" s="2">
        <f t="shared" si="6"/>
        <v>0.0004699073935</v>
      </c>
      <c r="M1535" s="2">
        <f t="shared" si="7"/>
        <v>0.5446226691</v>
      </c>
      <c r="N1535" s="2">
        <f t="shared" si="8"/>
        <v>0.07114677836</v>
      </c>
      <c r="O1535" s="2"/>
      <c r="P1535" s="4"/>
      <c r="Q1535" s="4"/>
      <c r="R1535" s="4"/>
    </row>
    <row r="1536" ht="14.25" customHeight="1">
      <c r="K1536" s="2">
        <v>0.01534</v>
      </c>
      <c r="L1536" s="2">
        <f t="shared" si="6"/>
        <v>0.0004705205052</v>
      </c>
      <c r="M1536" s="2">
        <f t="shared" si="7"/>
        <v>0.5453332656</v>
      </c>
      <c r="N1536" s="2">
        <f t="shared" si="8"/>
        <v>0.07122589696</v>
      </c>
      <c r="O1536" s="2"/>
      <c r="P1536" s="4"/>
      <c r="Q1536" s="4"/>
      <c r="R1536" s="4"/>
    </row>
    <row r="1537" ht="14.25" customHeight="1">
      <c r="K1537" s="2">
        <v>0.01535</v>
      </c>
      <c r="L1537" s="2">
        <f t="shared" si="6"/>
        <v>0.0004711340164</v>
      </c>
      <c r="M1537" s="2">
        <f t="shared" si="7"/>
        <v>0.546044325</v>
      </c>
      <c r="N1537" s="2">
        <f t="shared" si="8"/>
        <v>0.0713050795</v>
      </c>
      <c r="O1537" s="2"/>
      <c r="P1537" s="4"/>
      <c r="Q1537" s="4"/>
      <c r="R1537" s="4"/>
    </row>
    <row r="1538" ht="14.25" customHeight="1">
      <c r="K1538" s="2">
        <v>0.01536</v>
      </c>
      <c r="L1538" s="2">
        <f t="shared" si="6"/>
        <v>0.0004717479269</v>
      </c>
      <c r="M1538" s="2">
        <f t="shared" si="7"/>
        <v>0.5467558473</v>
      </c>
      <c r="N1538" s="2">
        <f t="shared" si="8"/>
        <v>0.071384326</v>
      </c>
      <c r="O1538" s="2"/>
      <c r="P1538" s="4"/>
      <c r="Q1538" s="4"/>
      <c r="R1538" s="4"/>
    </row>
    <row r="1539" ht="14.25" customHeight="1">
      <c r="K1539" s="2">
        <v>0.01537</v>
      </c>
      <c r="L1539" s="2">
        <f t="shared" si="6"/>
        <v>0.000472362237</v>
      </c>
      <c r="M1539" s="2">
        <f t="shared" si="7"/>
        <v>0.5474678326</v>
      </c>
      <c r="N1539" s="2">
        <f t="shared" si="8"/>
        <v>0.07146363652</v>
      </c>
      <c r="O1539" s="2"/>
      <c r="P1539" s="4"/>
      <c r="Q1539" s="4"/>
      <c r="R1539" s="4"/>
    </row>
    <row r="1540" ht="14.25" customHeight="1">
      <c r="K1540" s="2">
        <v>0.01538</v>
      </c>
      <c r="L1540" s="2">
        <f t="shared" si="6"/>
        <v>0.0004729769464</v>
      </c>
      <c r="M1540" s="2">
        <f t="shared" si="7"/>
        <v>0.5481802809</v>
      </c>
      <c r="N1540" s="2">
        <f t="shared" si="8"/>
        <v>0.07154301109</v>
      </c>
      <c r="O1540" s="2"/>
      <c r="P1540" s="4"/>
      <c r="Q1540" s="4"/>
      <c r="R1540" s="4"/>
    </row>
    <row r="1541" ht="14.25" customHeight="1">
      <c r="K1541" s="2">
        <v>0.01539</v>
      </c>
      <c r="L1541" s="2">
        <f t="shared" si="6"/>
        <v>0.0004735920553</v>
      </c>
      <c r="M1541" s="2">
        <f t="shared" si="7"/>
        <v>0.5488931921</v>
      </c>
      <c r="N1541" s="2">
        <f t="shared" si="8"/>
        <v>0.07162244975</v>
      </c>
      <c r="O1541" s="2"/>
      <c r="P1541" s="4"/>
      <c r="Q1541" s="4"/>
      <c r="R1541" s="4"/>
    </row>
    <row r="1542" ht="14.25" customHeight="1">
      <c r="K1542" s="2">
        <v>0.0154</v>
      </c>
      <c r="L1542" s="2">
        <f t="shared" si="6"/>
        <v>0.0004742075636</v>
      </c>
      <c r="M1542" s="2">
        <f t="shared" si="7"/>
        <v>0.5496065662</v>
      </c>
      <c r="N1542" s="2">
        <f t="shared" si="8"/>
        <v>0.07170195254</v>
      </c>
      <c r="O1542" s="2"/>
      <c r="P1542" s="4"/>
      <c r="Q1542" s="4"/>
      <c r="R1542" s="4"/>
    </row>
    <row r="1543" ht="14.25" customHeight="1">
      <c r="K1543" s="2">
        <v>0.01541</v>
      </c>
      <c r="L1543" s="2">
        <f t="shared" si="6"/>
        <v>0.0004748234713</v>
      </c>
      <c r="M1543" s="2">
        <f t="shared" si="7"/>
        <v>0.5503204033</v>
      </c>
      <c r="N1543" s="2">
        <f t="shared" si="8"/>
        <v>0.07178151951</v>
      </c>
      <c r="O1543" s="2"/>
      <c r="P1543" s="4"/>
      <c r="Q1543" s="4"/>
      <c r="R1543" s="4"/>
    </row>
    <row r="1544" ht="14.25" customHeight="1">
      <c r="K1544" s="2">
        <v>0.01542</v>
      </c>
      <c r="L1544" s="2">
        <f t="shared" si="6"/>
        <v>0.0004754397785</v>
      </c>
      <c r="M1544" s="2">
        <f t="shared" si="7"/>
        <v>0.5510347033</v>
      </c>
      <c r="N1544" s="2">
        <f t="shared" si="8"/>
        <v>0.0718611507</v>
      </c>
      <c r="O1544" s="2"/>
      <c r="P1544" s="4"/>
      <c r="Q1544" s="4"/>
      <c r="R1544" s="4"/>
    </row>
    <row r="1545" ht="14.25" customHeight="1">
      <c r="K1545" s="2">
        <v>0.01543</v>
      </c>
      <c r="L1545" s="2">
        <f t="shared" si="6"/>
        <v>0.0004760564851</v>
      </c>
      <c r="M1545" s="2">
        <f t="shared" si="7"/>
        <v>0.5517494662</v>
      </c>
      <c r="N1545" s="2">
        <f t="shared" si="8"/>
        <v>0.07194084615</v>
      </c>
      <c r="O1545" s="2"/>
      <c r="P1545" s="4"/>
      <c r="Q1545" s="4"/>
      <c r="R1545" s="4"/>
    </row>
    <row r="1546" ht="14.25" customHeight="1">
      <c r="K1546" s="2">
        <v>0.01544</v>
      </c>
      <c r="L1546" s="2">
        <f t="shared" si="6"/>
        <v>0.0004766735911</v>
      </c>
      <c r="M1546" s="2">
        <f t="shared" si="7"/>
        <v>0.5524646921</v>
      </c>
      <c r="N1546" s="2">
        <f t="shared" si="8"/>
        <v>0.0720206059</v>
      </c>
      <c r="O1546" s="2"/>
      <c r="P1546" s="4"/>
      <c r="Q1546" s="4"/>
      <c r="R1546" s="4"/>
    </row>
    <row r="1547" ht="14.25" customHeight="1">
      <c r="K1547" s="2">
        <v>0.01545</v>
      </c>
      <c r="L1547" s="2">
        <f t="shared" si="6"/>
        <v>0.0004772910966</v>
      </c>
      <c r="M1547" s="2">
        <f t="shared" si="7"/>
        <v>0.553180381</v>
      </c>
      <c r="N1547" s="2">
        <f t="shared" si="8"/>
        <v>0.07210043</v>
      </c>
      <c r="O1547" s="2"/>
      <c r="P1547" s="4"/>
      <c r="Q1547" s="4"/>
      <c r="R1547" s="4"/>
    </row>
    <row r="1548" ht="14.25" customHeight="1">
      <c r="K1548" s="2">
        <v>0.01546</v>
      </c>
      <c r="L1548" s="2">
        <f t="shared" si="6"/>
        <v>0.0004779090015</v>
      </c>
      <c r="M1548" s="2">
        <f t="shared" si="7"/>
        <v>0.5538965327</v>
      </c>
      <c r="N1548" s="2">
        <f t="shared" si="8"/>
        <v>0.07218031847</v>
      </c>
      <c r="O1548" s="2"/>
      <c r="P1548" s="4"/>
      <c r="Q1548" s="4"/>
      <c r="R1548" s="4"/>
    </row>
    <row r="1549" ht="14.25" customHeight="1">
      <c r="K1549" s="2">
        <v>0.01547</v>
      </c>
      <c r="L1549" s="2">
        <f t="shared" si="6"/>
        <v>0.0004785273058</v>
      </c>
      <c r="M1549" s="2">
        <f t="shared" si="7"/>
        <v>0.5546131474</v>
      </c>
      <c r="N1549" s="2">
        <f t="shared" si="8"/>
        <v>0.07226027138</v>
      </c>
      <c r="O1549" s="2"/>
      <c r="P1549" s="4"/>
      <c r="Q1549" s="4"/>
      <c r="R1549" s="4"/>
    </row>
    <row r="1550" ht="14.25" customHeight="1">
      <c r="K1550" s="2">
        <v>0.01548</v>
      </c>
      <c r="L1550" s="2">
        <f t="shared" si="6"/>
        <v>0.0004791460096</v>
      </c>
      <c r="M1550" s="2">
        <f t="shared" si="7"/>
        <v>0.5553302251</v>
      </c>
      <c r="N1550" s="2">
        <f t="shared" si="8"/>
        <v>0.07234028874</v>
      </c>
      <c r="O1550" s="2"/>
      <c r="P1550" s="4"/>
      <c r="Q1550" s="4"/>
      <c r="R1550" s="4"/>
    </row>
    <row r="1551" ht="14.25" customHeight="1">
      <c r="K1551" s="2">
        <v>0.01549</v>
      </c>
      <c r="L1551" s="2">
        <f t="shared" si="6"/>
        <v>0.0004797651127</v>
      </c>
      <c r="M1551" s="2">
        <f t="shared" si="7"/>
        <v>0.5560477656</v>
      </c>
      <c r="N1551" s="2">
        <f t="shared" si="8"/>
        <v>0.07242037062</v>
      </c>
      <c r="O1551" s="2"/>
      <c r="P1551" s="4"/>
      <c r="Q1551" s="4"/>
      <c r="R1551" s="4"/>
    </row>
    <row r="1552" ht="14.25" customHeight="1">
      <c r="K1552" s="2">
        <v>0.0155</v>
      </c>
      <c r="L1552" s="2">
        <f t="shared" si="6"/>
        <v>0.0004803846153</v>
      </c>
      <c r="M1552" s="2">
        <f t="shared" si="7"/>
        <v>0.5567657691</v>
      </c>
      <c r="N1552" s="2">
        <f t="shared" si="8"/>
        <v>0.07250051705</v>
      </c>
      <c r="O1552" s="2"/>
      <c r="P1552" s="4"/>
      <c r="Q1552" s="4"/>
      <c r="R1552" s="4"/>
    </row>
    <row r="1553" ht="14.25" customHeight="1">
      <c r="K1553" s="2">
        <v>0.01551</v>
      </c>
      <c r="L1553" s="2">
        <f t="shared" si="6"/>
        <v>0.0004810045173</v>
      </c>
      <c r="M1553" s="2">
        <f t="shared" si="7"/>
        <v>0.5574842356</v>
      </c>
      <c r="N1553" s="2">
        <f t="shared" si="8"/>
        <v>0.07258072807</v>
      </c>
      <c r="O1553" s="2"/>
      <c r="P1553" s="4"/>
      <c r="Q1553" s="4"/>
      <c r="R1553" s="4"/>
    </row>
    <row r="1554" ht="14.25" customHeight="1">
      <c r="K1554" s="2">
        <v>0.01552</v>
      </c>
      <c r="L1554" s="2">
        <f t="shared" si="6"/>
        <v>0.0004816248188</v>
      </c>
      <c r="M1554" s="2">
        <f t="shared" si="7"/>
        <v>0.558203165</v>
      </c>
      <c r="N1554" s="2">
        <f t="shared" si="8"/>
        <v>0.07266100372</v>
      </c>
      <c r="O1554" s="2"/>
      <c r="P1554" s="4"/>
      <c r="Q1554" s="4"/>
      <c r="R1554" s="4"/>
    </row>
    <row r="1555" ht="14.25" customHeight="1">
      <c r="K1555" s="2">
        <v>0.01553</v>
      </c>
      <c r="L1555" s="2">
        <f t="shared" si="6"/>
        <v>0.0004822455196</v>
      </c>
      <c r="M1555" s="2">
        <f t="shared" si="7"/>
        <v>0.5589225573</v>
      </c>
      <c r="N1555" s="2">
        <f t="shared" si="8"/>
        <v>0.07274134404</v>
      </c>
      <c r="O1555" s="2"/>
      <c r="P1555" s="4"/>
      <c r="Q1555" s="4"/>
      <c r="R1555" s="4"/>
    </row>
    <row r="1556" ht="14.25" customHeight="1">
      <c r="K1556" s="2">
        <v>0.01554</v>
      </c>
      <c r="L1556" s="2">
        <f t="shared" si="6"/>
        <v>0.0004828666199</v>
      </c>
      <c r="M1556" s="2">
        <f t="shared" si="7"/>
        <v>0.5596424125</v>
      </c>
      <c r="N1556" s="2">
        <f t="shared" si="8"/>
        <v>0.07282174908</v>
      </c>
      <c r="O1556" s="2"/>
      <c r="P1556" s="4"/>
      <c r="Q1556" s="4"/>
      <c r="R1556" s="4"/>
    </row>
    <row r="1557" ht="14.25" customHeight="1">
      <c r="K1557" s="2">
        <v>0.01555</v>
      </c>
      <c r="L1557" s="2">
        <f t="shared" si="6"/>
        <v>0.0004834881196</v>
      </c>
      <c r="M1557" s="2">
        <f t="shared" si="7"/>
        <v>0.5603627306</v>
      </c>
      <c r="N1557" s="2">
        <f t="shared" si="8"/>
        <v>0.07290221888</v>
      </c>
      <c r="O1557" s="2"/>
      <c r="P1557" s="4"/>
      <c r="Q1557" s="4"/>
      <c r="R1557" s="4"/>
    </row>
    <row r="1558" ht="14.25" customHeight="1">
      <c r="K1558" s="2">
        <v>0.01556</v>
      </c>
      <c r="L1558" s="2">
        <f t="shared" si="6"/>
        <v>0.0004841100187</v>
      </c>
      <c r="M1558" s="2">
        <f t="shared" si="7"/>
        <v>0.5610835117</v>
      </c>
      <c r="N1558" s="2">
        <f t="shared" si="8"/>
        <v>0.07298275348</v>
      </c>
      <c r="O1558" s="2"/>
      <c r="P1558" s="4"/>
      <c r="Q1558" s="4"/>
      <c r="R1558" s="4"/>
    </row>
    <row r="1559" ht="14.25" customHeight="1">
      <c r="K1559" s="2">
        <v>0.01557</v>
      </c>
      <c r="L1559" s="2">
        <f t="shared" si="6"/>
        <v>0.0004847323173</v>
      </c>
      <c r="M1559" s="2">
        <f t="shared" si="7"/>
        <v>0.5618047557</v>
      </c>
      <c r="N1559" s="2">
        <f t="shared" si="8"/>
        <v>0.07306335291</v>
      </c>
      <c r="O1559" s="2"/>
      <c r="P1559" s="4"/>
      <c r="Q1559" s="4"/>
      <c r="R1559" s="4"/>
    </row>
    <row r="1560" ht="14.25" customHeight="1">
      <c r="K1560" s="2">
        <v>0.01558</v>
      </c>
      <c r="L1560" s="2">
        <f t="shared" si="6"/>
        <v>0.0004853550153</v>
      </c>
      <c r="M1560" s="2">
        <f t="shared" si="7"/>
        <v>0.5625264627</v>
      </c>
      <c r="N1560" s="2">
        <f t="shared" si="8"/>
        <v>0.07314401723</v>
      </c>
      <c r="O1560" s="2"/>
      <c r="P1560" s="4"/>
      <c r="Q1560" s="4"/>
      <c r="R1560" s="4"/>
    </row>
    <row r="1561" ht="14.25" customHeight="1">
      <c r="K1561" s="2">
        <v>0.01559</v>
      </c>
      <c r="L1561" s="2">
        <f t="shared" si="6"/>
        <v>0.0004859781126</v>
      </c>
      <c r="M1561" s="2">
        <f t="shared" si="7"/>
        <v>0.5632486325</v>
      </c>
      <c r="N1561" s="2">
        <f t="shared" si="8"/>
        <v>0.07322474647</v>
      </c>
      <c r="O1561" s="2"/>
      <c r="P1561" s="4"/>
      <c r="Q1561" s="4"/>
      <c r="R1561" s="4"/>
    </row>
    <row r="1562" ht="14.25" customHeight="1">
      <c r="K1562" s="2">
        <v>0.0156</v>
      </c>
      <c r="L1562" s="2">
        <f t="shared" si="6"/>
        <v>0.0004866016094</v>
      </c>
      <c r="M1562" s="2">
        <f t="shared" si="7"/>
        <v>0.5639712653</v>
      </c>
      <c r="N1562" s="2">
        <f t="shared" si="8"/>
        <v>0.07330554067</v>
      </c>
      <c r="O1562" s="2"/>
      <c r="P1562" s="4"/>
      <c r="Q1562" s="4"/>
      <c r="R1562" s="4"/>
    </row>
    <row r="1563" ht="14.25" customHeight="1">
      <c r="K1563" s="2">
        <v>0.01561</v>
      </c>
      <c r="L1563" s="2">
        <f t="shared" si="6"/>
        <v>0.0004872255057</v>
      </c>
      <c r="M1563" s="2">
        <f t="shared" si="7"/>
        <v>0.5646943611</v>
      </c>
      <c r="N1563" s="2">
        <f t="shared" si="8"/>
        <v>0.07338639988</v>
      </c>
      <c r="O1563" s="2"/>
      <c r="P1563" s="4"/>
      <c r="Q1563" s="4"/>
      <c r="R1563" s="4"/>
    </row>
    <row r="1564" ht="14.25" customHeight="1">
      <c r="K1564" s="2">
        <v>0.01562</v>
      </c>
      <c r="L1564" s="2">
        <f t="shared" si="6"/>
        <v>0.0004878498013</v>
      </c>
      <c r="M1564" s="2">
        <f t="shared" si="7"/>
        <v>0.5654179197</v>
      </c>
      <c r="N1564" s="2">
        <f t="shared" si="8"/>
        <v>0.07346732414</v>
      </c>
      <c r="O1564" s="2"/>
      <c r="P1564" s="4"/>
      <c r="Q1564" s="4"/>
      <c r="R1564" s="4"/>
    </row>
    <row r="1565" ht="14.25" customHeight="1">
      <c r="K1565" s="2">
        <v>0.01563</v>
      </c>
      <c r="L1565" s="2">
        <f t="shared" si="6"/>
        <v>0.0004884744963</v>
      </c>
      <c r="M1565" s="2">
        <f t="shared" si="7"/>
        <v>0.5661419413</v>
      </c>
      <c r="N1565" s="2">
        <f t="shared" si="8"/>
        <v>0.07354831349</v>
      </c>
      <c r="O1565" s="2"/>
      <c r="P1565" s="4"/>
      <c r="Q1565" s="4"/>
      <c r="R1565" s="4"/>
    </row>
    <row r="1566" ht="14.25" customHeight="1">
      <c r="K1566" s="2">
        <v>0.01564</v>
      </c>
      <c r="L1566" s="2">
        <f t="shared" si="6"/>
        <v>0.0004890995908</v>
      </c>
      <c r="M1566" s="2">
        <f t="shared" si="7"/>
        <v>0.5668664257</v>
      </c>
      <c r="N1566" s="2">
        <f t="shared" si="8"/>
        <v>0.07362936797</v>
      </c>
      <c r="O1566" s="2"/>
      <c r="P1566" s="4"/>
      <c r="Q1566" s="4"/>
      <c r="R1566" s="4"/>
    </row>
    <row r="1567" ht="14.25" customHeight="1">
      <c r="K1567" s="2">
        <v>0.01565</v>
      </c>
      <c r="L1567" s="2">
        <f t="shared" si="6"/>
        <v>0.0004897250847</v>
      </c>
      <c r="M1567" s="2">
        <f t="shared" si="7"/>
        <v>0.5675913731</v>
      </c>
      <c r="N1567" s="2">
        <f t="shared" si="8"/>
        <v>0.07371048762</v>
      </c>
      <c r="O1567" s="2"/>
      <c r="P1567" s="4"/>
      <c r="Q1567" s="4"/>
      <c r="R1567" s="4"/>
    </row>
    <row r="1568" ht="14.25" customHeight="1">
      <c r="K1568" s="2">
        <v>0.01566</v>
      </c>
      <c r="L1568" s="2">
        <f t="shared" si="6"/>
        <v>0.000490350978</v>
      </c>
      <c r="M1568" s="2">
        <f t="shared" si="7"/>
        <v>0.5683167835</v>
      </c>
      <c r="N1568" s="2">
        <f t="shared" si="8"/>
        <v>0.07379167248</v>
      </c>
      <c r="O1568" s="2"/>
      <c r="P1568" s="4"/>
      <c r="Q1568" s="4"/>
      <c r="R1568" s="4"/>
    </row>
    <row r="1569" ht="14.25" customHeight="1">
      <c r="K1569" s="2">
        <v>0.01567</v>
      </c>
      <c r="L1569" s="2">
        <f t="shared" si="6"/>
        <v>0.0004909772707</v>
      </c>
      <c r="M1569" s="2">
        <f t="shared" si="7"/>
        <v>0.5690426567</v>
      </c>
      <c r="N1569" s="2">
        <f t="shared" si="8"/>
        <v>0.07387292259</v>
      </c>
      <c r="O1569" s="2"/>
      <c r="P1569" s="4"/>
      <c r="Q1569" s="4"/>
      <c r="R1569" s="4"/>
    </row>
    <row r="1570" ht="14.25" customHeight="1">
      <c r="K1570" s="2">
        <v>0.01568</v>
      </c>
      <c r="L1570" s="2">
        <f t="shared" si="6"/>
        <v>0.0004916039628</v>
      </c>
      <c r="M1570" s="2">
        <f t="shared" si="7"/>
        <v>0.5697689929</v>
      </c>
      <c r="N1570" s="2">
        <f t="shared" si="8"/>
        <v>0.07395423801</v>
      </c>
      <c r="O1570" s="2"/>
      <c r="P1570" s="4"/>
      <c r="Q1570" s="4"/>
      <c r="R1570" s="4"/>
    </row>
    <row r="1571" ht="14.25" customHeight="1">
      <c r="K1571" s="2">
        <v>0.01569</v>
      </c>
      <c r="L1571" s="2">
        <f t="shared" si="6"/>
        <v>0.0004922310543</v>
      </c>
      <c r="M1571" s="2">
        <f t="shared" si="7"/>
        <v>0.5704957919</v>
      </c>
      <c r="N1571" s="2">
        <f t="shared" si="8"/>
        <v>0.07403561876</v>
      </c>
      <c r="O1571" s="2"/>
      <c r="P1571" s="4"/>
      <c r="Q1571" s="4"/>
      <c r="R1571" s="4"/>
    </row>
    <row r="1572" ht="14.25" customHeight="1">
      <c r="K1572" s="2">
        <v>0.0157</v>
      </c>
      <c r="L1572" s="2">
        <f t="shared" si="6"/>
        <v>0.0004928585452</v>
      </c>
      <c r="M1572" s="2">
        <f t="shared" si="7"/>
        <v>0.5712230539</v>
      </c>
      <c r="N1572" s="2">
        <f t="shared" si="8"/>
        <v>0.07411706489</v>
      </c>
      <c r="O1572" s="2"/>
      <c r="P1572" s="4"/>
      <c r="Q1572" s="4"/>
      <c r="R1572" s="4"/>
    </row>
    <row r="1573" ht="14.25" customHeight="1">
      <c r="K1573" s="2">
        <v>0.01571</v>
      </c>
      <c r="L1573" s="2">
        <f t="shared" si="6"/>
        <v>0.0004934864356</v>
      </c>
      <c r="M1573" s="2">
        <f t="shared" si="7"/>
        <v>0.5719507788</v>
      </c>
      <c r="N1573" s="2">
        <f t="shared" si="8"/>
        <v>0.07419857644</v>
      </c>
      <c r="O1573" s="2"/>
      <c r="P1573" s="4"/>
      <c r="Q1573" s="4"/>
      <c r="R1573" s="4"/>
    </row>
    <row r="1574" ht="14.25" customHeight="1">
      <c r="K1574" s="2">
        <v>0.01572</v>
      </c>
      <c r="L1574" s="2">
        <f t="shared" si="6"/>
        <v>0.0004941147253</v>
      </c>
      <c r="M1574" s="2">
        <f t="shared" si="7"/>
        <v>0.5726789666</v>
      </c>
      <c r="N1574" s="2">
        <f t="shared" si="8"/>
        <v>0.07428015345</v>
      </c>
      <c r="O1574" s="2"/>
      <c r="P1574" s="4"/>
      <c r="Q1574" s="4"/>
      <c r="R1574" s="4"/>
    </row>
    <row r="1575" ht="14.25" customHeight="1">
      <c r="K1575" s="2">
        <v>0.01573</v>
      </c>
      <c r="L1575" s="2">
        <f t="shared" si="6"/>
        <v>0.0004947434145</v>
      </c>
      <c r="M1575" s="2">
        <f t="shared" si="7"/>
        <v>0.5734076174</v>
      </c>
      <c r="N1575" s="2">
        <f t="shared" si="8"/>
        <v>0.07436179597</v>
      </c>
      <c r="O1575" s="2"/>
      <c r="P1575" s="4"/>
      <c r="Q1575" s="4"/>
      <c r="R1575" s="4"/>
    </row>
    <row r="1576" ht="14.25" customHeight="1">
      <c r="K1576" s="2">
        <v>0.01574</v>
      </c>
      <c r="L1576" s="2">
        <f t="shared" si="6"/>
        <v>0.000495372503</v>
      </c>
      <c r="M1576" s="2">
        <f t="shared" si="7"/>
        <v>0.574136731</v>
      </c>
      <c r="N1576" s="2">
        <f t="shared" si="8"/>
        <v>0.07444350403</v>
      </c>
      <c r="O1576" s="2"/>
      <c r="P1576" s="4"/>
      <c r="Q1576" s="4"/>
      <c r="R1576" s="4"/>
    </row>
    <row r="1577" ht="14.25" customHeight="1">
      <c r="K1577" s="2">
        <v>0.01575</v>
      </c>
      <c r="L1577" s="2">
        <f t="shared" si="6"/>
        <v>0.000496001991</v>
      </c>
      <c r="M1577" s="2">
        <f t="shared" si="7"/>
        <v>0.5748663076</v>
      </c>
      <c r="N1577" s="2">
        <f t="shared" si="8"/>
        <v>0.07452527767</v>
      </c>
      <c r="O1577" s="2"/>
      <c r="P1577" s="4"/>
      <c r="Q1577" s="4"/>
      <c r="R1577" s="4"/>
    </row>
    <row r="1578" ht="14.25" customHeight="1">
      <c r="K1578" s="2">
        <v>0.01576</v>
      </c>
      <c r="L1578" s="2">
        <f t="shared" si="6"/>
        <v>0.0004966318784</v>
      </c>
      <c r="M1578" s="2">
        <f t="shared" si="7"/>
        <v>0.5755963471</v>
      </c>
      <c r="N1578" s="2">
        <f t="shared" si="8"/>
        <v>0.07460711695</v>
      </c>
      <c r="O1578" s="2"/>
      <c r="P1578" s="4"/>
      <c r="Q1578" s="4"/>
      <c r="R1578" s="4"/>
    </row>
    <row r="1579" ht="14.25" customHeight="1">
      <c r="K1579" s="2">
        <v>0.01577</v>
      </c>
      <c r="L1579" s="2">
        <f t="shared" si="6"/>
        <v>0.0004972621652</v>
      </c>
      <c r="M1579" s="2">
        <f t="shared" si="7"/>
        <v>0.5763268494</v>
      </c>
      <c r="N1579" s="2">
        <f t="shared" si="8"/>
        <v>0.07468902189</v>
      </c>
      <c r="O1579" s="2"/>
      <c r="P1579" s="4"/>
      <c r="Q1579" s="4"/>
      <c r="R1579" s="4"/>
    </row>
    <row r="1580" ht="14.25" customHeight="1">
      <c r="K1580" s="2">
        <v>0.01578</v>
      </c>
      <c r="L1580" s="2">
        <f t="shared" si="6"/>
        <v>0.0004978928514</v>
      </c>
      <c r="M1580" s="2">
        <f t="shared" si="7"/>
        <v>0.5770578147</v>
      </c>
      <c r="N1580" s="2">
        <f t="shared" si="8"/>
        <v>0.07477099255</v>
      </c>
      <c r="O1580" s="2"/>
      <c r="P1580" s="4"/>
      <c r="Q1580" s="4"/>
      <c r="R1580" s="4"/>
    </row>
    <row r="1581" ht="14.25" customHeight="1">
      <c r="K1581" s="2">
        <v>0.01579</v>
      </c>
      <c r="L1581" s="2">
        <f t="shared" si="6"/>
        <v>0.0004985239369</v>
      </c>
      <c r="M1581" s="2">
        <f t="shared" si="7"/>
        <v>0.5777892429</v>
      </c>
      <c r="N1581" s="2">
        <f t="shared" si="8"/>
        <v>0.07485302896</v>
      </c>
      <c r="O1581" s="2"/>
      <c r="P1581" s="4"/>
      <c r="Q1581" s="4"/>
      <c r="R1581" s="4"/>
    </row>
    <row r="1582" ht="14.25" customHeight="1">
      <c r="K1582" s="2">
        <v>0.0158</v>
      </c>
      <c r="L1582" s="2">
        <f t="shared" si="6"/>
        <v>0.0004991554219</v>
      </c>
      <c r="M1582" s="2">
        <f t="shared" si="7"/>
        <v>0.578521134</v>
      </c>
      <c r="N1582" s="2">
        <f t="shared" si="8"/>
        <v>0.07493513116</v>
      </c>
      <c r="O1582" s="2"/>
      <c r="P1582" s="4"/>
      <c r="Q1582" s="4"/>
      <c r="R1582" s="4"/>
    </row>
    <row r="1583" ht="14.25" customHeight="1">
      <c r="K1583" s="2">
        <v>0.01581</v>
      </c>
      <c r="L1583" s="2">
        <f t="shared" si="6"/>
        <v>0.0004997873063</v>
      </c>
      <c r="M1583" s="2">
        <f t="shared" si="7"/>
        <v>0.579253488</v>
      </c>
      <c r="N1583" s="2">
        <f t="shared" si="8"/>
        <v>0.07501729919</v>
      </c>
      <c r="O1583" s="2"/>
      <c r="P1583" s="4"/>
      <c r="Q1583" s="4"/>
      <c r="R1583" s="4"/>
    </row>
    <row r="1584" ht="14.25" customHeight="1">
      <c r="K1584" s="2">
        <v>0.01582</v>
      </c>
      <c r="L1584" s="2">
        <f t="shared" si="6"/>
        <v>0.0005004195901</v>
      </c>
      <c r="M1584" s="2">
        <f t="shared" si="7"/>
        <v>0.5799863049</v>
      </c>
      <c r="N1584" s="2">
        <f t="shared" si="8"/>
        <v>0.07509953311</v>
      </c>
      <c r="O1584" s="2"/>
      <c r="P1584" s="4"/>
      <c r="Q1584" s="4"/>
      <c r="R1584" s="4"/>
    </row>
    <row r="1585" ht="14.25" customHeight="1">
      <c r="K1585" s="2">
        <v>0.01583</v>
      </c>
      <c r="L1585" s="2">
        <f t="shared" si="6"/>
        <v>0.0005010522733</v>
      </c>
      <c r="M1585" s="2">
        <f t="shared" si="7"/>
        <v>0.5807195848</v>
      </c>
      <c r="N1585" s="2">
        <f t="shared" si="8"/>
        <v>0.07518183294</v>
      </c>
      <c r="O1585" s="2"/>
      <c r="P1585" s="4"/>
      <c r="Q1585" s="4"/>
      <c r="R1585" s="4"/>
    </row>
    <row r="1586" ht="14.25" customHeight="1">
      <c r="K1586" s="2">
        <v>0.01584</v>
      </c>
      <c r="L1586" s="2">
        <f t="shared" si="6"/>
        <v>0.0005016853559</v>
      </c>
      <c r="M1586" s="2">
        <f t="shared" si="7"/>
        <v>0.5814533275</v>
      </c>
      <c r="N1586" s="2">
        <f t="shared" si="8"/>
        <v>0.07526419873</v>
      </c>
      <c r="O1586" s="2"/>
      <c r="P1586" s="4"/>
      <c r="Q1586" s="4"/>
      <c r="R1586" s="4"/>
    </row>
    <row r="1587" ht="14.25" customHeight="1">
      <c r="K1587" s="2">
        <v>0.01585</v>
      </c>
      <c r="L1587" s="2">
        <f t="shared" si="6"/>
        <v>0.0005023188379</v>
      </c>
      <c r="M1587" s="2">
        <f t="shared" si="7"/>
        <v>0.5821875331</v>
      </c>
      <c r="N1587" s="2">
        <f t="shared" si="8"/>
        <v>0.07534663052</v>
      </c>
      <c r="O1587" s="2"/>
      <c r="P1587" s="4"/>
      <c r="Q1587" s="4"/>
      <c r="R1587" s="4"/>
    </row>
    <row r="1588" ht="14.25" customHeight="1">
      <c r="K1588" s="2">
        <v>0.01586</v>
      </c>
      <c r="L1588" s="2">
        <f t="shared" si="6"/>
        <v>0.0005029527193</v>
      </c>
      <c r="M1588" s="2">
        <f t="shared" si="7"/>
        <v>0.5829222016</v>
      </c>
      <c r="N1588" s="2">
        <f t="shared" si="8"/>
        <v>0.07542912835</v>
      </c>
      <c r="O1588" s="2"/>
      <c r="P1588" s="4"/>
      <c r="Q1588" s="4"/>
      <c r="R1588" s="4"/>
    </row>
    <row r="1589" ht="14.25" customHeight="1">
      <c r="K1589" s="2">
        <v>0.01587</v>
      </c>
      <c r="L1589" s="2">
        <f t="shared" si="6"/>
        <v>0.0005035870001</v>
      </c>
      <c r="M1589" s="2">
        <f t="shared" si="7"/>
        <v>0.5836573331</v>
      </c>
      <c r="N1589" s="2">
        <f t="shared" si="8"/>
        <v>0.07551169227</v>
      </c>
      <c r="O1589" s="2"/>
      <c r="P1589" s="4"/>
      <c r="Q1589" s="4"/>
      <c r="R1589" s="4"/>
    </row>
    <row r="1590" ht="14.25" customHeight="1">
      <c r="K1590" s="2">
        <v>0.01588</v>
      </c>
      <c r="L1590" s="2">
        <f t="shared" si="6"/>
        <v>0.0005042216802</v>
      </c>
      <c r="M1590" s="2">
        <f t="shared" si="7"/>
        <v>0.5843929274</v>
      </c>
      <c r="N1590" s="2">
        <f t="shared" si="8"/>
        <v>0.07559432231</v>
      </c>
      <c r="O1590" s="2"/>
      <c r="P1590" s="4"/>
      <c r="Q1590" s="4"/>
      <c r="R1590" s="4"/>
    </row>
    <row r="1591" ht="14.25" customHeight="1">
      <c r="K1591" s="2">
        <v>0.01589</v>
      </c>
      <c r="L1591" s="2">
        <f t="shared" si="6"/>
        <v>0.0005048567598</v>
      </c>
      <c r="M1591" s="2">
        <f t="shared" si="7"/>
        <v>0.5851289846</v>
      </c>
      <c r="N1591" s="2">
        <f t="shared" si="8"/>
        <v>0.07567701853</v>
      </c>
      <c r="O1591" s="2"/>
      <c r="P1591" s="4"/>
      <c r="Q1591" s="4"/>
      <c r="R1591" s="4"/>
    </row>
    <row r="1592" ht="14.25" customHeight="1">
      <c r="K1592" s="2">
        <v>0.0159</v>
      </c>
      <c r="L1592" s="2">
        <f t="shared" si="6"/>
        <v>0.0005054922388</v>
      </c>
      <c r="M1592" s="2">
        <f t="shared" si="7"/>
        <v>0.5858655048</v>
      </c>
      <c r="N1592" s="2">
        <f t="shared" si="8"/>
        <v>0.07575978094</v>
      </c>
      <c r="O1592" s="2"/>
      <c r="P1592" s="4"/>
      <c r="Q1592" s="4"/>
      <c r="R1592" s="4"/>
    </row>
    <row r="1593" ht="14.25" customHeight="1">
      <c r="K1593" s="2">
        <v>0.01591</v>
      </c>
      <c r="L1593" s="2">
        <f t="shared" si="6"/>
        <v>0.0005061281172</v>
      </c>
      <c r="M1593" s="2">
        <f t="shared" si="7"/>
        <v>0.5866024878</v>
      </c>
      <c r="N1593" s="2">
        <f t="shared" si="8"/>
        <v>0.07584260961</v>
      </c>
      <c r="O1593" s="2"/>
      <c r="P1593" s="4"/>
      <c r="Q1593" s="4"/>
      <c r="R1593" s="4"/>
    </row>
    <row r="1594" ht="14.25" customHeight="1">
      <c r="K1594" s="2">
        <v>0.01592</v>
      </c>
      <c r="L1594" s="2">
        <f t="shared" si="6"/>
        <v>0.0005067643949</v>
      </c>
      <c r="M1594" s="2">
        <f t="shared" si="7"/>
        <v>0.5873399337</v>
      </c>
      <c r="N1594" s="2">
        <f t="shared" si="8"/>
        <v>0.07592550457</v>
      </c>
      <c r="O1594" s="2"/>
      <c r="P1594" s="4"/>
      <c r="Q1594" s="4"/>
      <c r="R1594" s="4"/>
    </row>
    <row r="1595" ht="14.25" customHeight="1">
      <c r="K1595" s="2">
        <v>0.01593</v>
      </c>
      <c r="L1595" s="2">
        <f t="shared" si="6"/>
        <v>0.0005074010721</v>
      </c>
      <c r="M1595" s="2">
        <f t="shared" si="7"/>
        <v>0.5880778425</v>
      </c>
      <c r="N1595" s="2">
        <f t="shared" si="8"/>
        <v>0.07600846586</v>
      </c>
      <c r="O1595" s="2"/>
      <c r="P1595" s="4"/>
      <c r="Q1595" s="4"/>
      <c r="R1595" s="4"/>
    </row>
    <row r="1596" ht="14.25" customHeight="1">
      <c r="K1596" s="2">
        <v>0.01594</v>
      </c>
      <c r="L1596" s="2">
        <f t="shared" si="6"/>
        <v>0.0005080381486</v>
      </c>
      <c r="M1596" s="2">
        <f t="shared" si="7"/>
        <v>0.5888162143</v>
      </c>
      <c r="N1596" s="2">
        <f t="shared" si="8"/>
        <v>0.07609149353</v>
      </c>
      <c r="O1596" s="2"/>
      <c r="P1596" s="4"/>
      <c r="Q1596" s="4"/>
      <c r="R1596" s="4"/>
    </row>
    <row r="1597" ht="14.25" customHeight="1">
      <c r="K1597" s="2">
        <v>0.01595</v>
      </c>
      <c r="L1597" s="2">
        <f t="shared" si="6"/>
        <v>0.0005086756246</v>
      </c>
      <c r="M1597" s="2">
        <f t="shared" si="7"/>
        <v>0.5895550489</v>
      </c>
      <c r="N1597" s="2">
        <f t="shared" si="8"/>
        <v>0.07617458761</v>
      </c>
      <c r="O1597" s="2"/>
      <c r="P1597" s="4"/>
      <c r="Q1597" s="4"/>
      <c r="R1597" s="4"/>
    </row>
    <row r="1598" ht="14.25" customHeight="1">
      <c r="K1598" s="2">
        <v>0.01596</v>
      </c>
      <c r="L1598" s="2">
        <f t="shared" si="6"/>
        <v>0.0005093134999</v>
      </c>
      <c r="M1598" s="2">
        <f t="shared" si="7"/>
        <v>0.5902943464</v>
      </c>
      <c r="N1598" s="2">
        <f t="shared" si="8"/>
        <v>0.07625774815</v>
      </c>
      <c r="O1598" s="2"/>
      <c r="P1598" s="4"/>
      <c r="Q1598" s="4"/>
      <c r="R1598" s="4"/>
    </row>
    <row r="1599" ht="14.25" customHeight="1">
      <c r="K1599" s="2">
        <v>0.01597</v>
      </c>
      <c r="L1599" s="2">
        <f t="shared" si="6"/>
        <v>0.0005099517746</v>
      </c>
      <c r="M1599" s="2">
        <f t="shared" si="7"/>
        <v>0.5910341068</v>
      </c>
      <c r="N1599" s="2">
        <f t="shared" si="8"/>
        <v>0.07634097519</v>
      </c>
      <c r="O1599" s="2"/>
      <c r="P1599" s="4"/>
      <c r="Q1599" s="4"/>
      <c r="R1599" s="4"/>
    </row>
    <row r="1600" ht="14.25" customHeight="1">
      <c r="K1600" s="2">
        <v>0.01598</v>
      </c>
      <c r="L1600" s="2">
        <f t="shared" si="6"/>
        <v>0.0005105904487</v>
      </c>
      <c r="M1600" s="2">
        <f t="shared" si="7"/>
        <v>0.59177433</v>
      </c>
      <c r="N1600" s="2">
        <f t="shared" si="8"/>
        <v>0.07642426876</v>
      </c>
      <c r="O1600" s="2"/>
      <c r="P1600" s="4"/>
      <c r="Q1600" s="4"/>
      <c r="R1600" s="4"/>
    </row>
    <row r="1601" ht="14.25" customHeight="1">
      <c r="K1601" s="2">
        <v>0.01599</v>
      </c>
      <c r="L1601" s="2">
        <f t="shared" si="6"/>
        <v>0.0005112295222</v>
      </c>
      <c r="M1601" s="2">
        <f t="shared" si="7"/>
        <v>0.5925150162</v>
      </c>
      <c r="N1601" s="2">
        <f t="shared" si="8"/>
        <v>0.07650762892</v>
      </c>
      <c r="O1601" s="2"/>
      <c r="P1601" s="4"/>
      <c r="Q1601" s="4"/>
      <c r="R1601" s="4"/>
    </row>
    <row r="1602" ht="14.25" customHeight="1">
      <c r="K1602" s="2">
        <v>0.016</v>
      </c>
      <c r="L1602" s="2">
        <f t="shared" si="6"/>
        <v>0.0005118689951</v>
      </c>
      <c r="M1602" s="2">
        <f t="shared" si="7"/>
        <v>0.5932561653</v>
      </c>
      <c r="N1602" s="2">
        <f t="shared" si="8"/>
        <v>0.0765910557</v>
      </c>
      <c r="O1602" s="2"/>
      <c r="P1602" s="4"/>
      <c r="Q1602" s="4"/>
      <c r="R1602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0.29"/>
    <col customWidth="1" min="4" max="26" width="8.71"/>
  </cols>
  <sheetData>
    <row r="1" ht="14.25" customHeight="1">
      <c r="A1" s="1">
        <v>0.0</v>
      </c>
      <c r="B1" s="1">
        <v>1535.216</v>
      </c>
      <c r="C1" s="1">
        <v>1547.351</v>
      </c>
      <c r="D1" s="1">
        <f t="shared" ref="D1:D37" si="1">(B1-1535.216)*1000</f>
        <v>0</v>
      </c>
      <c r="E1" s="1">
        <f t="shared" ref="E1:E37" si="2">(C1-1547.351)*1000</f>
        <v>0</v>
      </c>
      <c r="F1" s="1">
        <f t="shared" ref="F1:F37" si="3">D1-E1</f>
        <v>0</v>
      </c>
      <c r="G1" s="1">
        <f t="shared" ref="G1:G37" si="4">(D1+E1)/2</f>
        <v>0</v>
      </c>
    </row>
    <row r="2" ht="14.25" customHeight="1">
      <c r="A2" s="1">
        <v>10.0</v>
      </c>
      <c r="B2" s="1">
        <v>1535.222</v>
      </c>
      <c r="C2" s="1">
        <v>1547.345</v>
      </c>
      <c r="D2" s="1">
        <f t="shared" si="1"/>
        <v>6</v>
      </c>
      <c r="E2" s="1">
        <f t="shared" si="2"/>
        <v>-6</v>
      </c>
      <c r="F2" s="1">
        <f t="shared" si="3"/>
        <v>12</v>
      </c>
      <c r="G2" s="1">
        <f t="shared" si="4"/>
        <v>0</v>
      </c>
    </row>
    <row r="3" ht="14.25" customHeight="1">
      <c r="A3" s="1">
        <v>20.0</v>
      </c>
      <c r="B3" s="1">
        <v>1535.227</v>
      </c>
      <c r="C3" s="1">
        <v>1547.339</v>
      </c>
      <c r="D3" s="1">
        <f t="shared" si="1"/>
        <v>11</v>
      </c>
      <c r="E3" s="1">
        <f t="shared" si="2"/>
        <v>-12</v>
      </c>
      <c r="F3" s="1">
        <f t="shared" si="3"/>
        <v>23</v>
      </c>
      <c r="G3" s="1">
        <f t="shared" si="4"/>
        <v>-0.5</v>
      </c>
    </row>
    <row r="4" ht="14.25" customHeight="1">
      <c r="A4" s="1">
        <v>30.0</v>
      </c>
      <c r="B4" s="1">
        <v>1535.232</v>
      </c>
      <c r="C4" s="1">
        <v>1547.335</v>
      </c>
      <c r="D4" s="1">
        <f t="shared" si="1"/>
        <v>16</v>
      </c>
      <c r="E4" s="1">
        <f t="shared" si="2"/>
        <v>-16</v>
      </c>
      <c r="F4" s="1">
        <f t="shared" si="3"/>
        <v>32</v>
      </c>
      <c r="G4" s="1">
        <f t="shared" si="4"/>
        <v>0</v>
      </c>
    </row>
    <row r="5" ht="14.25" customHeight="1">
      <c r="A5" s="1">
        <v>40.0</v>
      </c>
      <c r="B5" s="1">
        <v>1535.237</v>
      </c>
      <c r="C5" s="1">
        <v>1547.33</v>
      </c>
      <c r="D5" s="1">
        <f t="shared" si="1"/>
        <v>21</v>
      </c>
      <c r="E5" s="1">
        <f t="shared" si="2"/>
        <v>-21</v>
      </c>
      <c r="F5" s="1">
        <f t="shared" si="3"/>
        <v>42</v>
      </c>
      <c r="G5" s="1">
        <f t="shared" si="4"/>
        <v>0</v>
      </c>
    </row>
    <row r="6" ht="14.25" customHeight="1">
      <c r="A6" s="1">
        <v>50.0</v>
      </c>
      <c r="B6" s="1">
        <v>1535.242</v>
      </c>
      <c r="C6" s="1">
        <v>1547.325</v>
      </c>
      <c r="D6" s="1">
        <f t="shared" si="1"/>
        <v>26</v>
      </c>
      <c r="E6" s="1">
        <f t="shared" si="2"/>
        <v>-26</v>
      </c>
      <c r="F6" s="1">
        <f t="shared" si="3"/>
        <v>52</v>
      </c>
      <c r="G6" s="1">
        <f t="shared" si="4"/>
        <v>0</v>
      </c>
    </row>
    <row r="7" ht="14.25" customHeight="1">
      <c r="A7" s="1">
        <v>60.0</v>
      </c>
      <c r="B7" s="1">
        <v>1535.246</v>
      </c>
      <c r="C7" s="1">
        <v>1547.322</v>
      </c>
      <c r="D7" s="1">
        <f t="shared" si="1"/>
        <v>30</v>
      </c>
      <c r="E7" s="1">
        <f t="shared" si="2"/>
        <v>-29</v>
      </c>
      <c r="F7" s="1">
        <f t="shared" si="3"/>
        <v>59</v>
      </c>
      <c r="G7" s="1">
        <f t="shared" si="4"/>
        <v>0.5</v>
      </c>
    </row>
    <row r="8" ht="14.25" customHeight="1">
      <c r="A8" s="1">
        <v>70.0</v>
      </c>
      <c r="B8" s="1">
        <v>1535.248</v>
      </c>
      <c r="C8" s="1">
        <v>1547.319</v>
      </c>
      <c r="D8" s="1">
        <f t="shared" si="1"/>
        <v>32</v>
      </c>
      <c r="E8" s="1">
        <f t="shared" si="2"/>
        <v>-32</v>
      </c>
      <c r="F8" s="1">
        <f t="shared" si="3"/>
        <v>64</v>
      </c>
      <c r="G8" s="1">
        <f t="shared" si="4"/>
        <v>0</v>
      </c>
    </row>
    <row r="9" ht="14.25" customHeight="1">
      <c r="A9" s="1">
        <v>80.0</v>
      </c>
      <c r="B9" s="1">
        <v>1535.248</v>
      </c>
      <c r="C9" s="1">
        <v>1547.316</v>
      </c>
      <c r="D9" s="1">
        <f t="shared" si="1"/>
        <v>32</v>
      </c>
      <c r="E9" s="1">
        <f t="shared" si="2"/>
        <v>-35</v>
      </c>
      <c r="F9" s="1">
        <f t="shared" si="3"/>
        <v>67</v>
      </c>
      <c r="G9" s="1">
        <f t="shared" si="4"/>
        <v>-1.5</v>
      </c>
    </row>
    <row r="10" ht="14.25" customHeight="1">
      <c r="A10" s="1">
        <v>90.0</v>
      </c>
      <c r="B10" s="1">
        <v>1535.247</v>
      </c>
      <c r="C10" s="1">
        <v>1547.314</v>
      </c>
      <c r="D10" s="1">
        <f t="shared" si="1"/>
        <v>31</v>
      </c>
      <c r="E10" s="1">
        <f t="shared" si="2"/>
        <v>-37</v>
      </c>
      <c r="F10" s="1">
        <f t="shared" si="3"/>
        <v>68</v>
      </c>
      <c r="G10" s="1">
        <f t="shared" si="4"/>
        <v>-3</v>
      </c>
    </row>
    <row r="11" ht="14.25" customHeight="1">
      <c r="A11" s="1">
        <v>80.0</v>
      </c>
      <c r="B11" s="1">
        <v>1535.248</v>
      </c>
      <c r="C11" s="1">
        <v>1547.316</v>
      </c>
      <c r="D11" s="1">
        <f t="shared" si="1"/>
        <v>32</v>
      </c>
      <c r="E11" s="1">
        <f t="shared" si="2"/>
        <v>-35</v>
      </c>
      <c r="F11" s="1">
        <f t="shared" si="3"/>
        <v>67</v>
      </c>
      <c r="G11" s="1">
        <f t="shared" si="4"/>
        <v>-1.5</v>
      </c>
    </row>
    <row r="12" ht="14.25" customHeight="1">
      <c r="A12" s="1">
        <v>70.0</v>
      </c>
      <c r="B12" s="1">
        <v>1535.247</v>
      </c>
      <c r="C12" s="1">
        <v>1547.319</v>
      </c>
      <c r="D12" s="1">
        <f t="shared" si="1"/>
        <v>31</v>
      </c>
      <c r="E12" s="1">
        <f t="shared" si="2"/>
        <v>-32</v>
      </c>
      <c r="F12" s="1">
        <f t="shared" si="3"/>
        <v>63</v>
      </c>
      <c r="G12" s="1">
        <f t="shared" si="4"/>
        <v>-0.5</v>
      </c>
    </row>
    <row r="13" ht="14.25" customHeight="1">
      <c r="A13" s="1">
        <v>60.0</v>
      </c>
      <c r="B13" s="1">
        <v>1535.246</v>
      </c>
      <c r="C13" s="1">
        <v>1547.321</v>
      </c>
      <c r="D13" s="1">
        <f t="shared" si="1"/>
        <v>30</v>
      </c>
      <c r="E13" s="1">
        <f t="shared" si="2"/>
        <v>-30</v>
      </c>
      <c r="F13" s="1">
        <f t="shared" si="3"/>
        <v>60</v>
      </c>
      <c r="G13" s="1">
        <f t="shared" si="4"/>
        <v>0</v>
      </c>
    </row>
    <row r="14" ht="14.25" customHeight="1">
      <c r="A14" s="1">
        <v>50.0</v>
      </c>
      <c r="B14" s="1">
        <v>1535.242</v>
      </c>
      <c r="C14" s="1">
        <v>1547.324</v>
      </c>
      <c r="D14" s="1">
        <f t="shared" si="1"/>
        <v>26</v>
      </c>
      <c r="E14" s="1">
        <f t="shared" si="2"/>
        <v>-27</v>
      </c>
      <c r="F14" s="1">
        <f t="shared" si="3"/>
        <v>53</v>
      </c>
      <c r="G14" s="1">
        <f t="shared" si="4"/>
        <v>-0.5</v>
      </c>
    </row>
    <row r="15" ht="14.25" customHeight="1">
      <c r="A15" s="1">
        <v>40.0</v>
      </c>
      <c r="B15" s="1">
        <v>1535.237</v>
      </c>
      <c r="C15" s="1">
        <v>1547.329</v>
      </c>
      <c r="D15" s="1">
        <f t="shared" si="1"/>
        <v>21</v>
      </c>
      <c r="E15" s="1">
        <f t="shared" si="2"/>
        <v>-22</v>
      </c>
      <c r="F15" s="1">
        <f t="shared" si="3"/>
        <v>43</v>
      </c>
      <c r="G15" s="1">
        <f t="shared" si="4"/>
        <v>-0.5</v>
      </c>
    </row>
    <row r="16" ht="14.25" customHeight="1">
      <c r="A16" s="1">
        <v>30.0</v>
      </c>
      <c r="B16" s="1">
        <v>1535.233</v>
      </c>
      <c r="C16" s="1">
        <v>1547.334</v>
      </c>
      <c r="D16" s="1">
        <f t="shared" si="1"/>
        <v>17</v>
      </c>
      <c r="E16" s="1">
        <f t="shared" si="2"/>
        <v>-17</v>
      </c>
      <c r="F16" s="1">
        <f t="shared" si="3"/>
        <v>34</v>
      </c>
      <c r="G16" s="1">
        <f t="shared" si="4"/>
        <v>0</v>
      </c>
    </row>
    <row r="17" ht="14.25" customHeight="1">
      <c r="A17" s="1">
        <v>20.0</v>
      </c>
      <c r="B17" s="1">
        <v>1535.228</v>
      </c>
      <c r="C17" s="1">
        <v>1547.338</v>
      </c>
      <c r="D17" s="1">
        <f t="shared" si="1"/>
        <v>12</v>
      </c>
      <c r="E17" s="1">
        <f t="shared" si="2"/>
        <v>-13</v>
      </c>
      <c r="F17" s="1">
        <f t="shared" si="3"/>
        <v>25</v>
      </c>
      <c r="G17" s="1">
        <f t="shared" si="4"/>
        <v>-0.5</v>
      </c>
    </row>
    <row r="18" ht="14.25" customHeight="1">
      <c r="A18" s="1">
        <v>10.0</v>
      </c>
      <c r="B18" s="1">
        <v>1535.221</v>
      </c>
      <c r="C18" s="1">
        <v>1547.343</v>
      </c>
      <c r="D18" s="1">
        <f t="shared" si="1"/>
        <v>5</v>
      </c>
      <c r="E18" s="1">
        <f t="shared" si="2"/>
        <v>-8</v>
      </c>
      <c r="F18" s="1">
        <f t="shared" si="3"/>
        <v>13</v>
      </c>
      <c r="G18" s="1">
        <f t="shared" si="4"/>
        <v>-1.5</v>
      </c>
    </row>
    <row r="19" ht="14.25" customHeight="1">
      <c r="A19" s="1">
        <v>0.0</v>
      </c>
      <c r="B19" s="1">
        <v>1535.216</v>
      </c>
      <c r="C19" s="1">
        <v>1547.349</v>
      </c>
      <c r="D19" s="1">
        <f t="shared" si="1"/>
        <v>0</v>
      </c>
      <c r="E19" s="1">
        <f t="shared" si="2"/>
        <v>-2</v>
      </c>
      <c r="F19" s="1">
        <f t="shared" si="3"/>
        <v>2</v>
      </c>
      <c r="G19" s="1">
        <f t="shared" si="4"/>
        <v>-1</v>
      </c>
    </row>
    <row r="20" ht="14.25" customHeight="1">
      <c r="A20" s="1">
        <v>-10.0</v>
      </c>
      <c r="B20" s="1">
        <v>1535.21</v>
      </c>
      <c r="C20" s="1">
        <v>1547.355</v>
      </c>
      <c r="D20" s="1">
        <f t="shared" si="1"/>
        <v>-6</v>
      </c>
      <c r="E20" s="1">
        <f t="shared" si="2"/>
        <v>4</v>
      </c>
      <c r="F20" s="1">
        <f t="shared" si="3"/>
        <v>-10</v>
      </c>
      <c r="G20" s="1">
        <f t="shared" si="4"/>
        <v>-1</v>
      </c>
    </row>
    <row r="21" ht="14.25" customHeight="1">
      <c r="A21" s="1">
        <v>-20.0</v>
      </c>
      <c r="B21" s="1">
        <v>1535.205</v>
      </c>
      <c r="C21" s="1">
        <v>1547.361</v>
      </c>
      <c r="D21" s="1">
        <f t="shared" si="1"/>
        <v>-11</v>
      </c>
      <c r="E21" s="1">
        <f t="shared" si="2"/>
        <v>10</v>
      </c>
      <c r="F21" s="1">
        <f t="shared" si="3"/>
        <v>-21</v>
      </c>
      <c r="G21" s="1">
        <f t="shared" si="4"/>
        <v>-0.5</v>
      </c>
    </row>
    <row r="22" ht="14.25" customHeight="1">
      <c r="A22" s="1">
        <v>-30.0</v>
      </c>
      <c r="B22" s="1">
        <v>1535.199</v>
      </c>
      <c r="C22" s="1">
        <v>1547.367</v>
      </c>
      <c r="D22" s="1">
        <f t="shared" si="1"/>
        <v>-17</v>
      </c>
      <c r="E22" s="1">
        <f t="shared" si="2"/>
        <v>16</v>
      </c>
      <c r="F22" s="1">
        <f t="shared" si="3"/>
        <v>-33</v>
      </c>
      <c r="G22" s="1">
        <f t="shared" si="4"/>
        <v>-0.5</v>
      </c>
    </row>
    <row r="23" ht="14.25" customHeight="1">
      <c r="A23" s="1">
        <v>-40.0</v>
      </c>
      <c r="B23" s="1">
        <v>1535.194</v>
      </c>
      <c r="C23" s="1">
        <v>1547.372</v>
      </c>
      <c r="D23" s="1">
        <f t="shared" si="1"/>
        <v>-22</v>
      </c>
      <c r="E23" s="1">
        <f t="shared" si="2"/>
        <v>21</v>
      </c>
      <c r="F23" s="1">
        <f t="shared" si="3"/>
        <v>-43</v>
      </c>
      <c r="G23" s="1">
        <f t="shared" si="4"/>
        <v>-0.5</v>
      </c>
    </row>
    <row r="24" ht="14.25" customHeight="1">
      <c r="A24" s="1">
        <v>-50.0</v>
      </c>
      <c r="B24" s="1">
        <v>1535.189</v>
      </c>
      <c r="C24" s="1">
        <v>1547.377</v>
      </c>
      <c r="D24" s="1">
        <f t="shared" si="1"/>
        <v>-27</v>
      </c>
      <c r="E24" s="1">
        <f t="shared" si="2"/>
        <v>26</v>
      </c>
      <c r="F24" s="1">
        <f t="shared" si="3"/>
        <v>-53</v>
      </c>
      <c r="G24" s="1">
        <f t="shared" si="4"/>
        <v>-0.5</v>
      </c>
    </row>
    <row r="25" ht="14.25" customHeight="1">
      <c r="A25" s="1">
        <v>-60.0</v>
      </c>
      <c r="B25" s="1">
        <v>1535.185</v>
      </c>
      <c r="C25" s="1">
        <v>1547.381</v>
      </c>
      <c r="D25" s="1">
        <f t="shared" si="1"/>
        <v>-31</v>
      </c>
      <c r="E25" s="1">
        <f t="shared" si="2"/>
        <v>30</v>
      </c>
      <c r="F25" s="1">
        <f t="shared" si="3"/>
        <v>-61</v>
      </c>
      <c r="G25" s="1">
        <f t="shared" si="4"/>
        <v>-0.5</v>
      </c>
    </row>
    <row r="26" ht="14.25" customHeight="1">
      <c r="A26" s="1">
        <v>-70.0</v>
      </c>
      <c r="B26" s="1">
        <v>1535.183</v>
      </c>
      <c r="C26" s="1">
        <v>1547.384</v>
      </c>
      <c r="D26" s="1">
        <f t="shared" si="1"/>
        <v>-33</v>
      </c>
      <c r="E26" s="1">
        <f t="shared" si="2"/>
        <v>33</v>
      </c>
      <c r="F26" s="1">
        <f t="shared" si="3"/>
        <v>-66</v>
      </c>
      <c r="G26" s="1">
        <f t="shared" si="4"/>
        <v>0</v>
      </c>
    </row>
    <row r="27" ht="14.25" customHeight="1">
      <c r="A27" s="1">
        <v>-80.0</v>
      </c>
      <c r="B27" s="1">
        <v>1535.18</v>
      </c>
      <c r="C27" s="1">
        <v>1547.385</v>
      </c>
      <c r="D27" s="1">
        <f t="shared" si="1"/>
        <v>-36</v>
      </c>
      <c r="E27" s="1">
        <f t="shared" si="2"/>
        <v>34</v>
      </c>
      <c r="F27" s="1">
        <f t="shared" si="3"/>
        <v>-70</v>
      </c>
      <c r="G27" s="1">
        <f t="shared" si="4"/>
        <v>-1</v>
      </c>
    </row>
    <row r="28" ht="14.25" customHeight="1">
      <c r="A28" s="1">
        <v>-90.0</v>
      </c>
      <c r="B28" s="1">
        <v>1535.178</v>
      </c>
      <c r="C28" s="1">
        <v>1547.384</v>
      </c>
      <c r="D28" s="1">
        <f t="shared" si="1"/>
        <v>-38</v>
      </c>
      <c r="E28" s="1">
        <f t="shared" si="2"/>
        <v>33</v>
      </c>
      <c r="F28" s="1">
        <f t="shared" si="3"/>
        <v>-71</v>
      </c>
      <c r="G28" s="1">
        <f t="shared" si="4"/>
        <v>-2.5</v>
      </c>
    </row>
    <row r="29" ht="14.25" customHeight="1">
      <c r="A29" s="1">
        <v>-80.0</v>
      </c>
      <c r="B29" s="1">
        <v>1535.18</v>
      </c>
      <c r="C29" s="1">
        <v>1547.385</v>
      </c>
      <c r="D29" s="1">
        <f t="shared" si="1"/>
        <v>-36</v>
      </c>
      <c r="E29" s="1">
        <f t="shared" si="2"/>
        <v>34</v>
      </c>
      <c r="F29" s="1">
        <f t="shared" si="3"/>
        <v>-70</v>
      </c>
      <c r="G29" s="1">
        <f t="shared" si="4"/>
        <v>-1</v>
      </c>
    </row>
    <row r="30" ht="14.25" customHeight="1">
      <c r="A30" s="1">
        <v>-70.0</v>
      </c>
      <c r="B30" s="1">
        <v>1535.182</v>
      </c>
      <c r="C30" s="1">
        <v>1547.384</v>
      </c>
      <c r="D30" s="1">
        <f t="shared" si="1"/>
        <v>-34</v>
      </c>
      <c r="E30" s="1">
        <f t="shared" si="2"/>
        <v>33</v>
      </c>
      <c r="F30" s="1">
        <f t="shared" si="3"/>
        <v>-67</v>
      </c>
      <c r="G30" s="1">
        <f t="shared" si="4"/>
        <v>-0.5</v>
      </c>
    </row>
    <row r="31" ht="14.25" customHeight="1">
      <c r="A31" s="1">
        <v>-60.0</v>
      </c>
      <c r="B31" s="1">
        <v>1535.185</v>
      </c>
      <c r="C31" s="1">
        <v>1547.38</v>
      </c>
      <c r="D31" s="1">
        <f t="shared" si="1"/>
        <v>-31</v>
      </c>
      <c r="E31" s="1">
        <f t="shared" si="2"/>
        <v>29</v>
      </c>
      <c r="F31" s="1">
        <f t="shared" si="3"/>
        <v>-60</v>
      </c>
      <c r="G31" s="1">
        <f t="shared" si="4"/>
        <v>-1</v>
      </c>
    </row>
    <row r="32" ht="14.25" customHeight="1">
      <c r="A32" s="1">
        <v>-50.0</v>
      </c>
      <c r="B32" s="1">
        <v>1535.189</v>
      </c>
      <c r="C32" s="1">
        <v>1547.376</v>
      </c>
      <c r="D32" s="1">
        <f t="shared" si="1"/>
        <v>-27</v>
      </c>
      <c r="E32" s="1">
        <f t="shared" si="2"/>
        <v>25</v>
      </c>
      <c r="F32" s="1">
        <f t="shared" si="3"/>
        <v>-52</v>
      </c>
      <c r="G32" s="1">
        <f t="shared" si="4"/>
        <v>-1</v>
      </c>
    </row>
    <row r="33" ht="14.25" customHeight="1">
      <c r="A33" s="1">
        <v>-40.0</v>
      </c>
      <c r="B33" s="1">
        <v>1535.193</v>
      </c>
      <c r="C33" s="1">
        <v>1547.372</v>
      </c>
      <c r="D33" s="1">
        <f t="shared" si="1"/>
        <v>-23</v>
      </c>
      <c r="E33" s="1">
        <f t="shared" si="2"/>
        <v>21</v>
      </c>
      <c r="F33" s="1">
        <f t="shared" si="3"/>
        <v>-44</v>
      </c>
      <c r="G33" s="1">
        <f t="shared" si="4"/>
        <v>-1</v>
      </c>
    </row>
    <row r="34" ht="14.25" customHeight="1">
      <c r="A34" s="1">
        <v>-30.0</v>
      </c>
      <c r="B34" s="1">
        <v>1535.198</v>
      </c>
      <c r="C34" s="1">
        <v>1547.367</v>
      </c>
      <c r="D34" s="1">
        <f t="shared" si="1"/>
        <v>-18</v>
      </c>
      <c r="E34" s="1">
        <f t="shared" si="2"/>
        <v>16</v>
      </c>
      <c r="F34" s="1">
        <f t="shared" si="3"/>
        <v>-34</v>
      </c>
      <c r="G34" s="1">
        <f t="shared" si="4"/>
        <v>-1</v>
      </c>
    </row>
    <row r="35" ht="14.25" customHeight="1">
      <c r="A35" s="1">
        <v>-20.0</v>
      </c>
      <c r="B35" s="1">
        <v>1535.203</v>
      </c>
      <c r="C35" s="1">
        <v>1547.361</v>
      </c>
      <c r="D35" s="1">
        <f t="shared" si="1"/>
        <v>-13</v>
      </c>
      <c r="E35" s="1">
        <f t="shared" si="2"/>
        <v>10</v>
      </c>
      <c r="F35" s="1">
        <f t="shared" si="3"/>
        <v>-23</v>
      </c>
      <c r="G35" s="1">
        <f t="shared" si="4"/>
        <v>-1.5</v>
      </c>
    </row>
    <row r="36" ht="14.25" customHeight="1">
      <c r="A36" s="1">
        <v>-10.0</v>
      </c>
      <c r="B36" s="1">
        <v>1535.209</v>
      </c>
      <c r="C36" s="1">
        <v>1547.355</v>
      </c>
      <c r="D36" s="1">
        <f t="shared" si="1"/>
        <v>-7</v>
      </c>
      <c r="E36" s="1">
        <f t="shared" si="2"/>
        <v>4</v>
      </c>
      <c r="F36" s="1">
        <f t="shared" si="3"/>
        <v>-11</v>
      </c>
      <c r="G36" s="1">
        <f t="shared" si="4"/>
        <v>-1.5</v>
      </c>
    </row>
    <row r="37" ht="14.25" customHeight="1">
      <c r="A37" s="1">
        <v>0.0</v>
      </c>
      <c r="B37" s="1">
        <v>1535.214</v>
      </c>
      <c r="C37" s="1">
        <v>1547.349</v>
      </c>
      <c r="D37" s="1">
        <f t="shared" si="1"/>
        <v>-2</v>
      </c>
      <c r="E37" s="1">
        <f t="shared" si="2"/>
        <v>-2</v>
      </c>
      <c r="F37" s="1">
        <f t="shared" si="3"/>
        <v>0.0000000002273736754</v>
      </c>
      <c r="G37" s="1">
        <f t="shared" si="4"/>
        <v>-2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hidden="1" min="18" max="22" width="8.71"/>
    <col customWidth="1" min="23" max="26" width="8.71"/>
  </cols>
  <sheetData>
    <row r="1" ht="14.25" customHeight="1">
      <c r="A1" s="1">
        <v>0.0</v>
      </c>
      <c r="B1" s="1">
        <v>261.0</v>
      </c>
      <c r="C1" s="1">
        <v>404.0</v>
      </c>
      <c r="D1" s="1">
        <f t="shared" ref="D1:D37" si="1">B1-261</f>
        <v>0</v>
      </c>
      <c r="E1" s="1">
        <f t="shared" ref="E1:E37" si="2">C1-404</f>
        <v>0</v>
      </c>
      <c r="F1" s="1">
        <f t="shared" ref="F1:F37" si="3">D1-E1</f>
        <v>0</v>
      </c>
      <c r="G1" s="1">
        <f t="shared" ref="G1:G37" si="4">(D1+E1)/2</f>
        <v>0</v>
      </c>
    </row>
    <row r="2" ht="14.25" customHeight="1">
      <c r="A2" s="1">
        <v>10.0</v>
      </c>
      <c r="B2" s="1">
        <v>284.0</v>
      </c>
      <c r="C2" s="1">
        <v>413.0</v>
      </c>
      <c r="D2" s="1">
        <f t="shared" si="1"/>
        <v>23</v>
      </c>
      <c r="E2" s="1">
        <f t="shared" si="2"/>
        <v>9</v>
      </c>
      <c r="F2" s="1">
        <f t="shared" si="3"/>
        <v>14</v>
      </c>
      <c r="G2" s="1">
        <f t="shared" si="4"/>
        <v>16</v>
      </c>
    </row>
    <row r="3" ht="14.25" customHeight="1">
      <c r="A3" s="1">
        <v>20.0</v>
      </c>
      <c r="B3" s="1">
        <v>320.0</v>
      </c>
      <c r="C3" s="1">
        <v>445.0</v>
      </c>
      <c r="D3" s="1">
        <f t="shared" si="1"/>
        <v>59</v>
      </c>
      <c r="E3" s="1">
        <f t="shared" si="2"/>
        <v>41</v>
      </c>
      <c r="F3" s="1">
        <f t="shared" si="3"/>
        <v>18</v>
      </c>
      <c r="G3" s="1">
        <f t="shared" si="4"/>
        <v>50</v>
      </c>
      <c r="Q3" s="1">
        <v>20.0</v>
      </c>
      <c r="R3" s="1">
        <v>320.0</v>
      </c>
      <c r="S3" s="1">
        <v>445.0</v>
      </c>
      <c r="T3" s="1">
        <f t="shared" ref="T3:T8" si="5">R3-261</f>
        <v>59</v>
      </c>
      <c r="U3" s="1">
        <f t="shared" ref="U3:U8" si="6">S3-404</f>
        <v>41</v>
      </c>
      <c r="V3" s="1">
        <f t="shared" ref="V3:V8" si="7">T3-U3</f>
        <v>18</v>
      </c>
      <c r="W3" s="1">
        <f t="shared" ref="W3:W8" si="8">(T3+U3)/2</f>
        <v>50</v>
      </c>
    </row>
    <row r="4" ht="14.25" customHeight="1">
      <c r="A4" s="1">
        <v>30.0</v>
      </c>
      <c r="B4" s="1">
        <v>357.0</v>
      </c>
      <c r="C4" s="1">
        <v>488.0</v>
      </c>
      <c r="D4" s="1">
        <f t="shared" si="1"/>
        <v>96</v>
      </c>
      <c r="E4" s="1">
        <f t="shared" si="2"/>
        <v>84</v>
      </c>
      <c r="F4" s="1">
        <f t="shared" si="3"/>
        <v>12</v>
      </c>
      <c r="G4" s="1">
        <f t="shared" si="4"/>
        <v>90</v>
      </c>
      <c r="Q4" s="1">
        <v>30.0</v>
      </c>
      <c r="R4" s="1">
        <v>357.0</v>
      </c>
      <c r="S4" s="1">
        <v>488.0</v>
      </c>
      <c r="T4" s="1">
        <f t="shared" si="5"/>
        <v>96</v>
      </c>
      <c r="U4" s="1">
        <f t="shared" si="6"/>
        <v>84</v>
      </c>
      <c r="V4" s="1">
        <f t="shared" si="7"/>
        <v>12</v>
      </c>
      <c r="W4" s="1">
        <f t="shared" si="8"/>
        <v>90</v>
      </c>
    </row>
    <row r="5" ht="14.25" customHeight="1">
      <c r="A5" s="1">
        <v>40.0</v>
      </c>
      <c r="B5" s="1">
        <v>412.0</v>
      </c>
      <c r="C5" s="1">
        <v>542.0</v>
      </c>
      <c r="D5" s="1">
        <f t="shared" si="1"/>
        <v>151</v>
      </c>
      <c r="E5" s="1">
        <f t="shared" si="2"/>
        <v>138</v>
      </c>
      <c r="F5" s="1">
        <f t="shared" si="3"/>
        <v>13</v>
      </c>
      <c r="G5" s="1">
        <f t="shared" si="4"/>
        <v>144.5</v>
      </c>
      <c r="Q5" s="1">
        <v>40.0</v>
      </c>
      <c r="R5" s="1">
        <v>412.0</v>
      </c>
      <c r="S5" s="1">
        <v>542.0</v>
      </c>
      <c r="T5" s="1">
        <f t="shared" si="5"/>
        <v>151</v>
      </c>
      <c r="U5" s="1">
        <f t="shared" si="6"/>
        <v>138</v>
      </c>
      <c r="V5" s="1">
        <f t="shared" si="7"/>
        <v>13</v>
      </c>
      <c r="W5" s="1">
        <f t="shared" si="8"/>
        <v>144.5</v>
      </c>
    </row>
    <row r="6" ht="14.25" customHeight="1">
      <c r="A6" s="1">
        <v>50.0</v>
      </c>
      <c r="B6" s="1">
        <v>473.0</v>
      </c>
      <c r="C6" s="1">
        <v>601.0</v>
      </c>
      <c r="D6" s="1">
        <f t="shared" si="1"/>
        <v>212</v>
      </c>
      <c r="E6" s="1">
        <f t="shared" si="2"/>
        <v>197</v>
      </c>
      <c r="F6" s="1">
        <f t="shared" si="3"/>
        <v>15</v>
      </c>
      <c r="G6" s="1">
        <f t="shared" si="4"/>
        <v>204.5</v>
      </c>
      <c r="Q6" s="1">
        <v>50.0</v>
      </c>
      <c r="R6" s="1">
        <v>473.0</v>
      </c>
      <c r="S6" s="1">
        <v>601.0</v>
      </c>
      <c r="T6" s="1">
        <f t="shared" si="5"/>
        <v>212</v>
      </c>
      <c r="U6" s="1">
        <f t="shared" si="6"/>
        <v>197</v>
      </c>
      <c r="V6" s="1">
        <f t="shared" si="7"/>
        <v>15</v>
      </c>
      <c r="W6" s="1">
        <f t="shared" si="8"/>
        <v>204.5</v>
      </c>
    </row>
    <row r="7" ht="14.25" customHeight="1">
      <c r="A7" s="1">
        <v>60.0</v>
      </c>
      <c r="B7" s="1">
        <v>524.0</v>
      </c>
      <c r="C7" s="1">
        <v>648.0</v>
      </c>
      <c r="D7" s="1">
        <f t="shared" si="1"/>
        <v>263</v>
      </c>
      <c r="E7" s="1">
        <f t="shared" si="2"/>
        <v>244</v>
      </c>
      <c r="F7" s="1">
        <f t="shared" si="3"/>
        <v>19</v>
      </c>
      <c r="G7" s="1">
        <f t="shared" si="4"/>
        <v>253.5</v>
      </c>
      <c r="Q7" s="1">
        <v>60.0</v>
      </c>
      <c r="R7" s="1">
        <v>524.0</v>
      </c>
      <c r="S7" s="1">
        <v>648.0</v>
      </c>
      <c r="T7" s="1">
        <f t="shared" si="5"/>
        <v>263</v>
      </c>
      <c r="U7" s="1">
        <f t="shared" si="6"/>
        <v>244</v>
      </c>
      <c r="V7" s="1">
        <f t="shared" si="7"/>
        <v>19</v>
      </c>
      <c r="W7" s="1">
        <f t="shared" si="8"/>
        <v>253.5</v>
      </c>
    </row>
    <row r="8" ht="14.25" customHeight="1">
      <c r="A8" s="1">
        <v>70.0</v>
      </c>
      <c r="B8" s="1">
        <v>571.0</v>
      </c>
      <c r="C8" s="1">
        <v>690.0</v>
      </c>
      <c r="D8" s="1">
        <f t="shared" si="1"/>
        <v>310</v>
      </c>
      <c r="E8" s="1">
        <f t="shared" si="2"/>
        <v>286</v>
      </c>
      <c r="F8" s="1">
        <f t="shared" si="3"/>
        <v>24</v>
      </c>
      <c r="G8" s="1">
        <f t="shared" si="4"/>
        <v>298</v>
      </c>
      <c r="Q8" s="1">
        <v>70.0</v>
      </c>
      <c r="R8" s="1">
        <v>571.0</v>
      </c>
      <c r="S8" s="1">
        <v>690.0</v>
      </c>
      <c r="T8" s="1">
        <f t="shared" si="5"/>
        <v>310</v>
      </c>
      <c r="U8" s="1">
        <f t="shared" si="6"/>
        <v>286</v>
      </c>
      <c r="V8" s="1">
        <f t="shared" si="7"/>
        <v>24</v>
      </c>
      <c r="W8" s="1">
        <f t="shared" si="8"/>
        <v>298</v>
      </c>
    </row>
    <row r="9" ht="14.25" customHeight="1">
      <c r="A9" s="1">
        <v>80.0</v>
      </c>
      <c r="B9" s="1">
        <v>583.0</v>
      </c>
      <c r="C9" s="1">
        <v>700.0</v>
      </c>
      <c r="D9" s="1">
        <f t="shared" si="1"/>
        <v>322</v>
      </c>
      <c r="E9" s="1">
        <f t="shared" si="2"/>
        <v>296</v>
      </c>
      <c r="F9" s="1">
        <f t="shared" si="3"/>
        <v>26</v>
      </c>
      <c r="G9" s="1">
        <f t="shared" si="4"/>
        <v>309</v>
      </c>
    </row>
    <row r="10" ht="14.25" customHeight="1">
      <c r="A10" s="1">
        <v>90.0</v>
      </c>
      <c r="B10" s="1">
        <v>582.0</v>
      </c>
      <c r="C10" s="1">
        <v>699.0</v>
      </c>
      <c r="D10" s="1">
        <f t="shared" si="1"/>
        <v>321</v>
      </c>
      <c r="E10" s="1">
        <f t="shared" si="2"/>
        <v>295</v>
      </c>
      <c r="F10" s="1">
        <f t="shared" si="3"/>
        <v>26</v>
      </c>
      <c r="G10" s="1">
        <f t="shared" si="4"/>
        <v>308</v>
      </c>
    </row>
    <row r="11" ht="14.25" customHeight="1">
      <c r="A11" s="1">
        <v>80.0</v>
      </c>
      <c r="B11" s="1">
        <v>582.0</v>
      </c>
      <c r="C11" s="1">
        <v>700.0</v>
      </c>
      <c r="D11" s="1">
        <f t="shared" si="1"/>
        <v>321</v>
      </c>
      <c r="E11" s="1">
        <f t="shared" si="2"/>
        <v>296</v>
      </c>
      <c r="F11" s="1">
        <f t="shared" si="3"/>
        <v>25</v>
      </c>
      <c r="G11" s="1">
        <f t="shared" si="4"/>
        <v>308.5</v>
      </c>
    </row>
    <row r="12" ht="14.25" customHeight="1">
      <c r="A12" s="1">
        <v>70.0</v>
      </c>
      <c r="B12" s="1">
        <v>576.0</v>
      </c>
      <c r="C12" s="1">
        <v>695.0</v>
      </c>
      <c r="D12" s="1">
        <f t="shared" si="1"/>
        <v>315</v>
      </c>
      <c r="E12" s="1">
        <f t="shared" si="2"/>
        <v>291</v>
      </c>
      <c r="F12" s="1">
        <f t="shared" si="3"/>
        <v>24</v>
      </c>
      <c r="G12" s="1">
        <f t="shared" si="4"/>
        <v>303</v>
      </c>
      <c r="Q12" s="1">
        <v>70.0</v>
      </c>
      <c r="R12" s="1">
        <v>576.0</v>
      </c>
      <c r="S12" s="1">
        <v>695.0</v>
      </c>
      <c r="T12" s="1">
        <f t="shared" ref="T12:T17" si="9">R12-261</f>
        <v>315</v>
      </c>
      <c r="U12" s="1">
        <f t="shared" ref="U12:U17" si="10">S12-404</f>
        <v>291</v>
      </c>
      <c r="V12" s="1">
        <f t="shared" ref="V12:V17" si="11">T12-U12</f>
        <v>24</v>
      </c>
      <c r="W12" s="1">
        <f t="shared" ref="W12:W17" si="12">(T12+U12)/2</f>
        <v>303</v>
      </c>
    </row>
    <row r="13" ht="14.25" customHeight="1">
      <c r="A13" s="1">
        <v>60.0</v>
      </c>
      <c r="B13" s="1">
        <v>546.0</v>
      </c>
      <c r="C13" s="1">
        <v>669.0</v>
      </c>
      <c r="D13" s="1">
        <f t="shared" si="1"/>
        <v>285</v>
      </c>
      <c r="E13" s="1">
        <f t="shared" si="2"/>
        <v>265</v>
      </c>
      <c r="F13" s="1">
        <f t="shared" si="3"/>
        <v>20</v>
      </c>
      <c r="G13" s="1">
        <f t="shared" si="4"/>
        <v>275</v>
      </c>
      <c r="Q13" s="1">
        <v>60.0</v>
      </c>
      <c r="R13" s="1">
        <v>546.0</v>
      </c>
      <c r="S13" s="1">
        <v>669.0</v>
      </c>
      <c r="T13" s="1">
        <f t="shared" si="9"/>
        <v>285</v>
      </c>
      <c r="U13" s="1">
        <f t="shared" si="10"/>
        <v>265</v>
      </c>
      <c r="V13" s="1">
        <f t="shared" si="11"/>
        <v>20</v>
      </c>
      <c r="W13" s="1">
        <f t="shared" si="12"/>
        <v>275</v>
      </c>
    </row>
    <row r="14" ht="14.25" customHeight="1">
      <c r="A14" s="1">
        <v>50.0</v>
      </c>
      <c r="B14" s="1">
        <v>508.0</v>
      </c>
      <c r="C14" s="1">
        <v>637.0</v>
      </c>
      <c r="D14" s="1">
        <f t="shared" si="1"/>
        <v>247</v>
      </c>
      <c r="E14" s="1">
        <f t="shared" si="2"/>
        <v>233</v>
      </c>
      <c r="F14" s="1">
        <f t="shared" si="3"/>
        <v>14</v>
      </c>
      <c r="G14" s="1">
        <f t="shared" si="4"/>
        <v>240</v>
      </c>
      <c r="Q14" s="1">
        <v>50.0</v>
      </c>
      <c r="R14" s="1">
        <v>508.0</v>
      </c>
      <c r="S14" s="1">
        <v>637.0</v>
      </c>
      <c r="T14" s="1">
        <f t="shared" si="9"/>
        <v>247</v>
      </c>
      <c r="U14" s="1">
        <f t="shared" si="10"/>
        <v>233</v>
      </c>
      <c r="V14" s="1">
        <f t="shared" si="11"/>
        <v>14</v>
      </c>
      <c r="W14" s="1">
        <f t="shared" si="12"/>
        <v>240</v>
      </c>
    </row>
    <row r="15" ht="14.25" customHeight="1">
      <c r="A15" s="1">
        <v>40.0</v>
      </c>
      <c r="B15" s="1">
        <v>463.0</v>
      </c>
      <c r="C15" s="1">
        <v>596.0</v>
      </c>
      <c r="D15" s="1">
        <f t="shared" si="1"/>
        <v>202</v>
      </c>
      <c r="E15" s="1">
        <f t="shared" si="2"/>
        <v>192</v>
      </c>
      <c r="F15" s="1">
        <f t="shared" si="3"/>
        <v>10</v>
      </c>
      <c r="G15" s="1">
        <f t="shared" si="4"/>
        <v>197</v>
      </c>
      <c r="Q15" s="1">
        <v>40.0</v>
      </c>
      <c r="R15" s="1">
        <v>463.0</v>
      </c>
      <c r="S15" s="1">
        <v>596.0</v>
      </c>
      <c r="T15" s="1">
        <f t="shared" si="9"/>
        <v>202</v>
      </c>
      <c r="U15" s="1">
        <f t="shared" si="10"/>
        <v>192</v>
      </c>
      <c r="V15" s="1">
        <f t="shared" si="11"/>
        <v>10</v>
      </c>
      <c r="W15" s="1">
        <f t="shared" si="12"/>
        <v>197</v>
      </c>
    </row>
    <row r="16" ht="14.25" customHeight="1">
      <c r="A16" s="1">
        <v>30.0</v>
      </c>
      <c r="B16" s="1">
        <v>415.0</v>
      </c>
      <c r="C16" s="1">
        <v>549.0</v>
      </c>
      <c r="D16" s="1">
        <f t="shared" si="1"/>
        <v>154</v>
      </c>
      <c r="E16" s="1">
        <f t="shared" si="2"/>
        <v>145</v>
      </c>
      <c r="F16" s="1">
        <f t="shared" si="3"/>
        <v>9</v>
      </c>
      <c r="G16" s="1">
        <f t="shared" si="4"/>
        <v>149.5</v>
      </c>
      <c r="Q16" s="1">
        <v>30.0</v>
      </c>
      <c r="R16" s="1">
        <v>415.0</v>
      </c>
      <c r="S16" s="1">
        <v>549.0</v>
      </c>
      <c r="T16" s="1">
        <f t="shared" si="9"/>
        <v>154</v>
      </c>
      <c r="U16" s="1">
        <f t="shared" si="10"/>
        <v>145</v>
      </c>
      <c r="V16" s="1">
        <f t="shared" si="11"/>
        <v>9</v>
      </c>
      <c r="W16" s="1">
        <f t="shared" si="12"/>
        <v>149.5</v>
      </c>
    </row>
    <row r="17" ht="14.25" customHeight="1">
      <c r="A17" s="1">
        <v>20.0</v>
      </c>
      <c r="B17" s="1">
        <v>367.0</v>
      </c>
      <c r="C17" s="1">
        <v>500.0</v>
      </c>
      <c r="D17" s="1">
        <f t="shared" si="1"/>
        <v>106</v>
      </c>
      <c r="E17" s="1">
        <f t="shared" si="2"/>
        <v>96</v>
      </c>
      <c r="F17" s="1">
        <f t="shared" si="3"/>
        <v>10</v>
      </c>
      <c r="G17" s="1">
        <f t="shared" si="4"/>
        <v>101</v>
      </c>
      <c r="Q17" s="1">
        <v>20.0</v>
      </c>
      <c r="R17" s="1">
        <v>367.0</v>
      </c>
      <c r="S17" s="1">
        <v>500.0</v>
      </c>
      <c r="T17" s="1">
        <f t="shared" si="9"/>
        <v>106</v>
      </c>
      <c r="U17" s="1">
        <f t="shared" si="10"/>
        <v>96</v>
      </c>
      <c r="V17" s="1">
        <f t="shared" si="11"/>
        <v>10</v>
      </c>
      <c r="W17" s="1">
        <f t="shared" si="12"/>
        <v>101</v>
      </c>
    </row>
    <row r="18" ht="14.25" customHeight="1">
      <c r="A18" s="1">
        <v>10.0</v>
      </c>
      <c r="B18" s="1">
        <v>326.0</v>
      </c>
      <c r="C18" s="1">
        <v>457.0</v>
      </c>
      <c r="D18" s="1">
        <f t="shared" si="1"/>
        <v>65</v>
      </c>
      <c r="E18" s="1">
        <f t="shared" si="2"/>
        <v>53</v>
      </c>
      <c r="F18" s="1">
        <f t="shared" si="3"/>
        <v>12</v>
      </c>
      <c r="G18" s="1">
        <f t="shared" si="4"/>
        <v>59</v>
      </c>
    </row>
    <row r="19" ht="14.25" customHeight="1">
      <c r="A19" s="1">
        <v>0.0</v>
      </c>
      <c r="B19" s="1">
        <v>291.0</v>
      </c>
      <c r="C19" s="1">
        <v>427.0</v>
      </c>
      <c r="D19" s="1">
        <f t="shared" si="1"/>
        <v>30</v>
      </c>
      <c r="E19" s="1">
        <f t="shared" si="2"/>
        <v>23</v>
      </c>
      <c r="F19" s="1">
        <f t="shared" si="3"/>
        <v>7</v>
      </c>
      <c r="G19" s="1">
        <f t="shared" si="4"/>
        <v>26.5</v>
      </c>
    </row>
    <row r="20" ht="14.25" customHeight="1">
      <c r="A20" s="1">
        <v>-10.0</v>
      </c>
      <c r="B20" s="1">
        <v>285.0</v>
      </c>
      <c r="C20" s="1">
        <v>420.0</v>
      </c>
      <c r="D20" s="1">
        <f t="shared" si="1"/>
        <v>24</v>
      </c>
      <c r="E20" s="1">
        <f t="shared" si="2"/>
        <v>16</v>
      </c>
      <c r="F20" s="1">
        <f t="shared" si="3"/>
        <v>8</v>
      </c>
      <c r="G20" s="1">
        <f t="shared" si="4"/>
        <v>20</v>
      </c>
    </row>
    <row r="21" ht="14.25" customHeight="1">
      <c r="A21" s="1">
        <v>-20.0</v>
      </c>
      <c r="B21" s="1">
        <v>300.0</v>
      </c>
      <c r="C21" s="1">
        <v>429.0</v>
      </c>
      <c r="D21" s="1">
        <f t="shared" si="1"/>
        <v>39</v>
      </c>
      <c r="E21" s="1">
        <f t="shared" si="2"/>
        <v>25</v>
      </c>
      <c r="F21" s="1">
        <f t="shared" si="3"/>
        <v>14</v>
      </c>
      <c r="G21" s="1">
        <f t="shared" si="4"/>
        <v>32</v>
      </c>
      <c r="Q21" s="1">
        <v>20.0</v>
      </c>
      <c r="R21" s="1">
        <v>300.0</v>
      </c>
      <c r="S21" s="1">
        <v>429.0</v>
      </c>
      <c r="T21" s="1">
        <f t="shared" ref="T21:T26" si="13">R21-261</f>
        <v>39</v>
      </c>
      <c r="U21" s="1">
        <f t="shared" ref="U21:U26" si="14">S21-404</f>
        <v>25</v>
      </c>
      <c r="V21" s="1">
        <f t="shared" ref="V21:V26" si="15">T21-U21</f>
        <v>14</v>
      </c>
      <c r="W21" s="1">
        <f t="shared" ref="W21:W26" si="16">(T21+U21)/2</f>
        <v>32</v>
      </c>
    </row>
    <row r="22" ht="14.25" customHeight="1">
      <c r="A22" s="1">
        <v>-30.0</v>
      </c>
      <c r="B22" s="1">
        <v>340.0</v>
      </c>
      <c r="C22" s="1">
        <v>466.0</v>
      </c>
      <c r="D22" s="1">
        <f t="shared" si="1"/>
        <v>79</v>
      </c>
      <c r="E22" s="1">
        <f t="shared" si="2"/>
        <v>62</v>
      </c>
      <c r="F22" s="1">
        <f t="shared" si="3"/>
        <v>17</v>
      </c>
      <c r="G22" s="1">
        <f t="shared" si="4"/>
        <v>70.5</v>
      </c>
      <c r="Q22" s="1">
        <v>30.0</v>
      </c>
      <c r="R22" s="1">
        <v>340.0</v>
      </c>
      <c r="S22" s="1">
        <v>466.0</v>
      </c>
      <c r="T22" s="1">
        <f t="shared" si="13"/>
        <v>79</v>
      </c>
      <c r="U22" s="1">
        <f t="shared" si="14"/>
        <v>62</v>
      </c>
      <c r="V22" s="1">
        <f t="shared" si="15"/>
        <v>17</v>
      </c>
      <c r="W22" s="1">
        <f t="shared" si="16"/>
        <v>70.5</v>
      </c>
    </row>
    <row r="23" ht="14.25" customHeight="1">
      <c r="A23" s="1">
        <v>-40.0</v>
      </c>
      <c r="B23" s="1">
        <v>391.0</v>
      </c>
      <c r="C23" s="1">
        <v>517.0</v>
      </c>
      <c r="D23" s="1">
        <f t="shared" si="1"/>
        <v>130</v>
      </c>
      <c r="E23" s="1">
        <f t="shared" si="2"/>
        <v>113</v>
      </c>
      <c r="F23" s="1">
        <f t="shared" si="3"/>
        <v>17</v>
      </c>
      <c r="G23" s="1">
        <f t="shared" si="4"/>
        <v>121.5</v>
      </c>
      <c r="Q23" s="1">
        <v>40.0</v>
      </c>
      <c r="R23" s="1">
        <v>391.0</v>
      </c>
      <c r="S23" s="1">
        <v>517.0</v>
      </c>
      <c r="T23" s="1">
        <f t="shared" si="13"/>
        <v>130</v>
      </c>
      <c r="U23" s="1">
        <f t="shared" si="14"/>
        <v>113</v>
      </c>
      <c r="V23" s="1">
        <f t="shared" si="15"/>
        <v>17</v>
      </c>
      <c r="W23" s="1">
        <f t="shared" si="16"/>
        <v>121.5</v>
      </c>
    </row>
    <row r="24" ht="14.25" customHeight="1">
      <c r="A24" s="1">
        <v>-50.0</v>
      </c>
      <c r="B24" s="1">
        <v>439.0</v>
      </c>
      <c r="C24" s="1">
        <v>566.0</v>
      </c>
      <c r="D24" s="1">
        <f t="shared" si="1"/>
        <v>178</v>
      </c>
      <c r="E24" s="1">
        <f t="shared" si="2"/>
        <v>162</v>
      </c>
      <c r="F24" s="1">
        <f t="shared" si="3"/>
        <v>16</v>
      </c>
      <c r="G24" s="1">
        <f t="shared" si="4"/>
        <v>170</v>
      </c>
      <c r="Q24" s="1">
        <v>50.0</v>
      </c>
      <c r="R24" s="1">
        <v>439.0</v>
      </c>
      <c r="S24" s="1">
        <v>566.0</v>
      </c>
      <c r="T24" s="1">
        <f t="shared" si="13"/>
        <v>178</v>
      </c>
      <c r="U24" s="1">
        <f t="shared" si="14"/>
        <v>162</v>
      </c>
      <c r="V24" s="1">
        <f t="shared" si="15"/>
        <v>16</v>
      </c>
      <c r="W24" s="1">
        <f t="shared" si="16"/>
        <v>170</v>
      </c>
    </row>
    <row r="25" ht="14.25" customHeight="1">
      <c r="A25" s="1">
        <v>-60.0</v>
      </c>
      <c r="B25" s="1">
        <v>486.0</v>
      </c>
      <c r="C25" s="1">
        <v>606.0</v>
      </c>
      <c r="D25" s="1">
        <f t="shared" si="1"/>
        <v>225</v>
      </c>
      <c r="E25" s="1">
        <f t="shared" si="2"/>
        <v>202</v>
      </c>
      <c r="F25" s="1">
        <f t="shared" si="3"/>
        <v>23</v>
      </c>
      <c r="G25" s="1">
        <f t="shared" si="4"/>
        <v>213.5</v>
      </c>
      <c r="Q25" s="1">
        <v>60.0</v>
      </c>
      <c r="R25" s="1">
        <v>486.0</v>
      </c>
      <c r="S25" s="1">
        <v>606.0</v>
      </c>
      <c r="T25" s="1">
        <f t="shared" si="13"/>
        <v>225</v>
      </c>
      <c r="U25" s="1">
        <f t="shared" si="14"/>
        <v>202</v>
      </c>
      <c r="V25" s="1">
        <f t="shared" si="15"/>
        <v>23</v>
      </c>
      <c r="W25" s="1">
        <f t="shared" si="16"/>
        <v>213.5</v>
      </c>
    </row>
    <row r="26" ht="14.25" customHeight="1">
      <c r="A26" s="1">
        <v>-70.0</v>
      </c>
      <c r="B26" s="1">
        <v>528.0</v>
      </c>
      <c r="C26" s="1">
        <v>646.0</v>
      </c>
      <c r="D26" s="1">
        <f t="shared" si="1"/>
        <v>267</v>
      </c>
      <c r="E26" s="1">
        <f t="shared" si="2"/>
        <v>242</v>
      </c>
      <c r="F26" s="1">
        <f t="shared" si="3"/>
        <v>25</v>
      </c>
      <c r="G26" s="1">
        <f t="shared" si="4"/>
        <v>254.5</v>
      </c>
      <c r="Q26" s="1">
        <v>70.0</v>
      </c>
      <c r="R26" s="1">
        <v>528.0</v>
      </c>
      <c r="S26" s="1">
        <v>646.0</v>
      </c>
      <c r="T26" s="1">
        <f t="shared" si="13"/>
        <v>267</v>
      </c>
      <c r="U26" s="1">
        <f t="shared" si="14"/>
        <v>242</v>
      </c>
      <c r="V26" s="1">
        <f t="shared" si="15"/>
        <v>25</v>
      </c>
      <c r="W26" s="1">
        <f t="shared" si="16"/>
        <v>254.5</v>
      </c>
    </row>
    <row r="27" ht="14.25" customHeight="1">
      <c r="A27" s="1">
        <v>-80.0</v>
      </c>
      <c r="B27" s="1">
        <v>554.0</v>
      </c>
      <c r="C27" s="1">
        <v>669.0</v>
      </c>
      <c r="D27" s="1">
        <f t="shared" si="1"/>
        <v>293</v>
      </c>
      <c r="E27" s="1">
        <f t="shared" si="2"/>
        <v>265</v>
      </c>
      <c r="F27" s="1">
        <f t="shared" si="3"/>
        <v>28</v>
      </c>
      <c r="G27" s="1">
        <f t="shared" si="4"/>
        <v>279</v>
      </c>
    </row>
    <row r="28" ht="14.25" customHeight="1">
      <c r="A28" s="1">
        <v>-90.0</v>
      </c>
      <c r="B28" s="1">
        <v>576.0</v>
      </c>
      <c r="C28" s="1">
        <v>689.0</v>
      </c>
      <c r="D28" s="1">
        <f t="shared" si="1"/>
        <v>315</v>
      </c>
      <c r="E28" s="1">
        <f t="shared" si="2"/>
        <v>285</v>
      </c>
      <c r="F28" s="1">
        <f t="shared" si="3"/>
        <v>30</v>
      </c>
      <c r="G28" s="1">
        <f t="shared" si="4"/>
        <v>300</v>
      </c>
    </row>
    <row r="29" ht="14.25" customHeight="1">
      <c r="A29" s="1">
        <v>-80.0</v>
      </c>
      <c r="B29" s="1">
        <v>568.0</v>
      </c>
      <c r="C29" s="1">
        <v>682.0</v>
      </c>
      <c r="D29" s="1">
        <f t="shared" si="1"/>
        <v>307</v>
      </c>
      <c r="E29" s="1">
        <f t="shared" si="2"/>
        <v>278</v>
      </c>
      <c r="F29" s="1">
        <f t="shared" si="3"/>
        <v>29</v>
      </c>
      <c r="G29" s="1">
        <f t="shared" si="4"/>
        <v>292.5</v>
      </c>
    </row>
    <row r="30" ht="14.25" customHeight="1">
      <c r="A30" s="1">
        <v>-70.0</v>
      </c>
      <c r="B30" s="1">
        <v>545.0</v>
      </c>
      <c r="C30" s="1">
        <v>661.0</v>
      </c>
      <c r="D30" s="1">
        <f t="shared" si="1"/>
        <v>284</v>
      </c>
      <c r="E30" s="1">
        <f t="shared" si="2"/>
        <v>257</v>
      </c>
      <c r="F30" s="1">
        <f t="shared" si="3"/>
        <v>27</v>
      </c>
      <c r="G30" s="1">
        <f t="shared" si="4"/>
        <v>270.5</v>
      </c>
      <c r="Q30" s="1">
        <v>70.0</v>
      </c>
      <c r="R30" s="1">
        <v>545.0</v>
      </c>
      <c r="S30" s="1">
        <v>661.0</v>
      </c>
      <c r="T30" s="1">
        <f t="shared" ref="T30:T35" si="17">R30-261</f>
        <v>284</v>
      </c>
      <c r="U30" s="1">
        <f t="shared" ref="U30:U35" si="18">S30-404</f>
        <v>257</v>
      </c>
      <c r="V30" s="1">
        <f t="shared" ref="V30:V35" si="19">T30-U30</f>
        <v>27</v>
      </c>
      <c r="W30" s="1">
        <f t="shared" ref="W30:W35" si="20">(T30+U30)/2</f>
        <v>270.5</v>
      </c>
    </row>
    <row r="31" ht="14.25" customHeight="1">
      <c r="A31" s="1">
        <v>-60.0</v>
      </c>
      <c r="B31" s="1">
        <v>513.0</v>
      </c>
      <c r="C31" s="1">
        <v>632.0</v>
      </c>
      <c r="D31" s="1">
        <f t="shared" si="1"/>
        <v>252</v>
      </c>
      <c r="E31" s="1">
        <f t="shared" si="2"/>
        <v>228</v>
      </c>
      <c r="F31" s="1">
        <f t="shared" si="3"/>
        <v>24</v>
      </c>
      <c r="G31" s="1">
        <f t="shared" si="4"/>
        <v>240</v>
      </c>
      <c r="Q31" s="1">
        <v>60.0</v>
      </c>
      <c r="R31" s="1">
        <v>513.0</v>
      </c>
      <c r="S31" s="1">
        <v>632.0</v>
      </c>
      <c r="T31" s="1">
        <f t="shared" si="17"/>
        <v>252</v>
      </c>
      <c r="U31" s="1">
        <f t="shared" si="18"/>
        <v>228</v>
      </c>
      <c r="V31" s="1">
        <f t="shared" si="19"/>
        <v>24</v>
      </c>
      <c r="W31" s="1">
        <f t="shared" si="20"/>
        <v>240</v>
      </c>
    </row>
    <row r="32" ht="14.25" customHeight="1">
      <c r="A32" s="1">
        <v>-50.0</v>
      </c>
      <c r="B32" s="1">
        <v>471.0</v>
      </c>
      <c r="C32" s="1">
        <v>592.0</v>
      </c>
      <c r="D32" s="1">
        <f t="shared" si="1"/>
        <v>210</v>
      </c>
      <c r="E32" s="1">
        <f t="shared" si="2"/>
        <v>188</v>
      </c>
      <c r="F32" s="1">
        <f t="shared" si="3"/>
        <v>22</v>
      </c>
      <c r="G32" s="1">
        <f t="shared" si="4"/>
        <v>199</v>
      </c>
      <c r="Q32" s="1">
        <v>50.0</v>
      </c>
      <c r="R32" s="1">
        <v>471.0</v>
      </c>
      <c r="S32" s="1">
        <v>592.0</v>
      </c>
      <c r="T32" s="1">
        <f t="shared" si="17"/>
        <v>210</v>
      </c>
      <c r="U32" s="1">
        <f t="shared" si="18"/>
        <v>188</v>
      </c>
      <c r="V32" s="1">
        <f t="shared" si="19"/>
        <v>22</v>
      </c>
      <c r="W32" s="1">
        <f t="shared" si="20"/>
        <v>199</v>
      </c>
    </row>
    <row r="33" ht="14.25" customHeight="1">
      <c r="A33" s="1">
        <v>-40.0</v>
      </c>
      <c r="B33" s="1">
        <v>426.0</v>
      </c>
      <c r="C33" s="1">
        <v>553.0</v>
      </c>
      <c r="D33" s="1">
        <f t="shared" si="1"/>
        <v>165</v>
      </c>
      <c r="E33" s="1">
        <f t="shared" si="2"/>
        <v>149</v>
      </c>
      <c r="F33" s="1">
        <f t="shared" si="3"/>
        <v>16</v>
      </c>
      <c r="G33" s="1">
        <f t="shared" si="4"/>
        <v>157</v>
      </c>
      <c r="Q33" s="1">
        <v>40.0</v>
      </c>
      <c r="R33" s="1">
        <v>426.0</v>
      </c>
      <c r="S33" s="1">
        <v>553.0</v>
      </c>
      <c r="T33" s="1">
        <f t="shared" si="17"/>
        <v>165</v>
      </c>
      <c r="U33" s="1">
        <f t="shared" si="18"/>
        <v>149</v>
      </c>
      <c r="V33" s="1">
        <f t="shared" si="19"/>
        <v>16</v>
      </c>
      <c r="W33" s="1">
        <f t="shared" si="20"/>
        <v>157</v>
      </c>
    </row>
    <row r="34" ht="14.25" customHeight="1">
      <c r="A34" s="1">
        <v>-30.0</v>
      </c>
      <c r="B34" s="1">
        <v>373.0</v>
      </c>
      <c r="C34" s="1">
        <v>499.0</v>
      </c>
      <c r="D34" s="1">
        <f t="shared" si="1"/>
        <v>112</v>
      </c>
      <c r="E34" s="1">
        <f t="shared" si="2"/>
        <v>95</v>
      </c>
      <c r="F34" s="1">
        <f t="shared" si="3"/>
        <v>17</v>
      </c>
      <c r="G34" s="1">
        <f t="shared" si="4"/>
        <v>103.5</v>
      </c>
      <c r="Q34" s="1">
        <v>30.0</v>
      </c>
      <c r="R34" s="1">
        <v>373.0</v>
      </c>
      <c r="S34" s="1">
        <v>499.0</v>
      </c>
      <c r="T34" s="1">
        <f t="shared" si="17"/>
        <v>112</v>
      </c>
      <c r="U34" s="1">
        <f t="shared" si="18"/>
        <v>95</v>
      </c>
      <c r="V34" s="1">
        <f t="shared" si="19"/>
        <v>17</v>
      </c>
      <c r="W34" s="1">
        <f t="shared" si="20"/>
        <v>103.5</v>
      </c>
    </row>
    <row r="35" ht="14.25" customHeight="1">
      <c r="A35" s="1">
        <v>-20.0</v>
      </c>
      <c r="B35" s="1">
        <v>328.0</v>
      </c>
      <c r="C35" s="1">
        <v>454.0</v>
      </c>
      <c r="D35" s="1">
        <f t="shared" si="1"/>
        <v>67</v>
      </c>
      <c r="E35" s="1">
        <f t="shared" si="2"/>
        <v>50</v>
      </c>
      <c r="F35" s="1">
        <f t="shared" si="3"/>
        <v>17</v>
      </c>
      <c r="G35" s="1">
        <f t="shared" si="4"/>
        <v>58.5</v>
      </c>
      <c r="Q35" s="1">
        <v>20.0</v>
      </c>
      <c r="R35" s="1">
        <v>328.0</v>
      </c>
      <c r="S35" s="1">
        <v>454.0</v>
      </c>
      <c r="T35" s="1">
        <f t="shared" si="17"/>
        <v>67</v>
      </c>
      <c r="U35" s="1">
        <f t="shared" si="18"/>
        <v>50</v>
      </c>
      <c r="V35" s="1">
        <f t="shared" si="19"/>
        <v>17</v>
      </c>
      <c r="W35" s="1">
        <f t="shared" si="20"/>
        <v>58.5</v>
      </c>
    </row>
    <row r="36" ht="14.25" customHeight="1">
      <c r="A36" s="1">
        <v>-10.0</v>
      </c>
      <c r="B36" s="1">
        <v>280.0</v>
      </c>
      <c r="C36" s="1">
        <v>413.0</v>
      </c>
      <c r="D36" s="1">
        <f t="shared" si="1"/>
        <v>19</v>
      </c>
      <c r="E36" s="1">
        <f t="shared" si="2"/>
        <v>9</v>
      </c>
      <c r="F36" s="1">
        <f t="shared" si="3"/>
        <v>10</v>
      </c>
      <c r="G36" s="1">
        <f t="shared" si="4"/>
        <v>14</v>
      </c>
    </row>
    <row r="37" ht="14.25" customHeight="1">
      <c r="A37" s="1">
        <v>0.0</v>
      </c>
      <c r="B37" s="1">
        <v>251.0</v>
      </c>
      <c r="C37" s="1">
        <v>391.0</v>
      </c>
      <c r="D37" s="1">
        <f t="shared" si="1"/>
        <v>-10</v>
      </c>
      <c r="E37" s="1">
        <f t="shared" si="2"/>
        <v>-13</v>
      </c>
      <c r="F37" s="1">
        <f t="shared" si="3"/>
        <v>3</v>
      </c>
      <c r="G37" s="1">
        <f t="shared" si="4"/>
        <v>-11.5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2019-07-12T08:44:12Z</dcterms:created>
  <dc:creator>Kuo</dc:creator>
</cp:coreProperties>
</file>